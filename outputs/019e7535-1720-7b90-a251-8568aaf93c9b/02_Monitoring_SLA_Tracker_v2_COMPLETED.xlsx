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Dashboard" sheetId="1" state="visible" r:id="rId1"/>
    <sheet xmlns:r="http://schemas.openxmlformats.org/officeDocument/2006/relationships" name="Completion Audit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Testing" sheetId="4" state="visible" r:id="rId4"/>
    <sheet xmlns:r="http://schemas.openxmlformats.org/officeDocument/2006/relationships" name="Capability Coverage" sheetId="5" state="visible" r:id="rId5"/>
    <sheet xmlns:r="http://schemas.openxmlformats.org/officeDocument/2006/relationships" name="Rollout &amp; Signoff" sheetId="6" state="visible" r:id="rId6"/>
    <sheet xmlns:r="http://schemas.openxmlformats.org/officeDocument/2006/relationships" name="Source Notes" sheetId="7" state="visible" r:id="rId7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8"/>
    </font>
    <font>
      <name val="Carlito"/>
      <i val="1"/>
      <color rgb="FF475569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EAF2FF"/>
      </patternFill>
    </fill>
    <fill>
      <patternFill patternType="solid">
        <fgColor rgb="001F2937"/>
      </patternFill>
    </fill>
    <fill>
      <patternFill patternType="solid">
        <fgColor rgb="00E5E7EB"/>
      </patternFill>
    </fill>
  </fills>
  <borders count="6">
    <border/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9" fontId="0" fillId="0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Status Distribution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'Executive Dashboard'!$N$5:$N$11</f>
              <strCache>
                <ptCount val="0"/>
              </strCache>
            </strRef>
          </cat>
          <val>
            <numRef>
              <f>'Executive Dashboard'!$O$5:$O$11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14</row>
      <rowOff>0</rowOff>
    </from>
    <to>
      <col>12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LTasksV2" displayName="MLTasksV2" ref="A4:R42" headerRowCount="1">
  <autoFilter ref="A4:R42"/>
  <tableColumns count="18">
    <tableColumn id="1" name="ID"/>
    <tableColumn id="2" name="Phase"/>
    <tableColumn id="3" name="Workstream"/>
    <tableColumn id="4" name="Priority"/>
    <tableColumn id="5" name="Task"/>
    <tableColumn id="6" name="Detailed Scope"/>
    <tableColumn id="7" name="Owner"/>
    <tableColumn id="8" name="Dependency"/>
    <tableColumn id="9" name="Effort"/>
    <tableColumn id="10" name="Target Sprint"/>
    <tableColumn id="11" name="Status"/>
    <tableColumn id="12" name="Implementation Evidence"/>
    <tableColumn id="13" name="Acceptance Criteria"/>
    <tableColumn id="14" name="Test Scenario"/>
    <tableColumn id="15" name="QA Status"/>
    <tableColumn id="16" name="Sign-off"/>
    <tableColumn id="17" name="Risk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MLTestsV2" displayName="MLTestsV2" ref="A4:K25" headerRowCount="1">
  <autoFilter ref="A4:K25"/>
  <tableColumns count="11">
    <tableColumn id="1" name="Test ID"/>
    <tableColumn id="2" name="Area"/>
    <tableColumn id="3" name="Scenario"/>
    <tableColumn id="4" name="Precondition"/>
    <tableColumn id="5" name="Steps"/>
    <tableColumn id="6" name="Expected Result"/>
    <tableColumn id="7" name="Priority"/>
    <tableColumn id="8" name="Test Type"/>
    <tableColumn id="9" name="Owner"/>
    <tableColumn id="10" name="Status"/>
    <tableColumn id="11" name="Evidence Link/Notes"/>
  </tableColumns>
  <tableStyleInfo name="TableStyleMedium2" showRowStripes="1"/>
</table>
</file>

<file path=xl/tables/table3.xml><?xml version="1.0" encoding="utf-8"?>
<table xmlns="http://schemas.openxmlformats.org/spreadsheetml/2006/main" id="3" name="MLCoverageV2" displayName="MLCoverageV2" ref="A4:J10" headerRowCount="1">
  <autoFilter ref="A4:J10"/>
  <tableColumns count="10">
    <tableColumn id="1" name="Capability"/>
    <tableColumn id="2" name="Data Model"/>
    <tableColumn id="3" name="Backend/API"/>
    <tableColumn id="4" name="UI Surface"/>
    <tableColumn id="5" name="Controls / Alerts / Audit"/>
    <tableColumn id="6" name="Reporting Output"/>
    <tableColumn id="7" name="Primary Owner"/>
    <tableColumn id="8" name="Priority"/>
    <tableColumn id="9" name="Status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MLRolloutV2" displayName="MLRolloutV2" ref="A4:H10" headerRowCount="1">
  <autoFilter ref="A4:H10"/>
  <tableColumns count="8">
    <tableColumn id="1" name="Stage"/>
    <tableColumn id="2" name="Focus"/>
    <tableColumn id="3" name="Must Ship"/>
    <tableColumn id="4" name="Exit Criteria"/>
    <tableColumn id="5" name="Risks"/>
    <tableColumn id="6" name="Mitigation"/>
    <tableColumn id="7" name="Owner Sign-off"/>
    <tableColumn id="8" name="Date"/>
  </tableColumns>
  <tableStyleInfo name="TableStyleMedium2" showRowStripes="1"/>
</table>
</file>

<file path=xl/tables/table5.xml><?xml version="1.0" encoding="utf-8"?>
<table xmlns="http://schemas.openxmlformats.org/spreadsheetml/2006/main" id="5" name="MLSourceV2" displayName="MLSourceV2" ref="A4:D10" headerRowCount="1">
  <autoFilter ref="A4:D10"/>
  <tableColumns count="4">
    <tableColumn id="1" name="Source Area"/>
    <tableColumn id="2" name="Reference"/>
    <tableColumn id="3" name="Key Playbook Meaning"/>
    <tableColumn id="4" name="Tracker Transl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.75" customWidth="1" min="1" max="1"/>
    <col width="13.75" customWidth="1" min="2" max="2"/>
    <col width="13.75" customWidth="1" min="3" max="3"/>
    <col width="15" customWidth="1" min="4" max="4"/>
    <col width="4.380000114440918" customWidth="1" min="5" max="5"/>
    <col width="22.5" customWidth="1" min="6" max="6"/>
    <col width="11.25" customWidth="1" min="7" max="7"/>
    <col width="11.25" customWidth="1" min="8" max="8"/>
    <col width="11.25" customWidth="1" min="9" max="9"/>
    <col width="11.25" customWidth="1" min="10" max="10"/>
    <col width="13.75" customWidth="1" min="11" max="11"/>
    <col width="18.1299991607666" customWidth="1" min="12" max="12"/>
  </cols>
  <sheetData>
    <row r="1" ht="27" customHeight="1">
      <c r="A1" s="22" t="inlineStr">
        <is>
          <t>Renivet Monitoring, Alerts &amp; SLA - Detailed Playbook Tracker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2" ht="27" customHeight="1">
      <c r="A2" s="23" t="inlineStr">
        <is>
          <t>Evidence system for dashboards, alerts, SLA checks, reporting packs, access reviews, and compliance extracts.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>
      <c r="A4" s="24" t="inlineStr">
        <is>
          <t>Metric</t>
        </is>
      </c>
      <c r="B4" s="24" t="inlineStr">
        <is>
          <t>Value</t>
        </is>
      </c>
      <c r="C4" s="24" t="inlineStr">
        <is>
          <t>Target</t>
        </is>
      </c>
      <c r="D4" s="24" t="inlineStr">
        <is>
          <t>Status</t>
        </is>
      </c>
      <c r="E4" s="21" t="n"/>
      <c r="F4" s="24" t="inlineStr">
        <is>
          <t>Phase</t>
        </is>
      </c>
      <c r="G4" s="24" t="inlineStr">
        <is>
          <t>Tasks</t>
        </is>
      </c>
      <c r="H4" s="24" t="inlineStr">
        <is>
          <t>Done</t>
        </is>
      </c>
      <c r="I4" s="24" t="inlineStr">
        <is>
          <t>Open</t>
        </is>
      </c>
      <c r="J4" s="24" t="inlineStr">
        <is>
          <t>Blocked</t>
        </is>
      </c>
      <c r="K4" s="24" t="inlineStr">
        <is>
          <t>Completion %</t>
        </is>
      </c>
      <c r="L4" s="24" t="inlineStr">
        <is>
          <t>Owner</t>
        </is>
      </c>
      <c r="M4" s="21" t="n"/>
      <c r="N4" s="24" t="inlineStr">
        <is>
          <t>Status</t>
        </is>
      </c>
      <c r="O4" s="24" t="inlineStr">
        <is>
          <t>Count</t>
        </is>
      </c>
    </row>
    <row r="5">
      <c r="A5" s="25" t="inlineStr">
        <is>
          <t>Total Tasks</t>
        </is>
      </c>
      <c r="B5" s="25" t="n">
        <v>38</v>
      </c>
      <c r="C5" s="25" t="n">
        <v>38</v>
      </c>
      <c r="D5" s="25" t="inlineStr">
        <is>
          <t>Track</t>
        </is>
      </c>
      <c r="E5" s="21" t="n"/>
      <c r="F5" s="25" t="inlineStr">
        <is>
          <t>Phase 0 - Alignment</t>
        </is>
      </c>
      <c r="G5" s="25">
        <f>COUNTIF(Tasks!B:B,F5)</f>
        <v/>
      </c>
      <c r="H5" s="25">
        <f>COUNTIFS(Tasks!B:B,F5,Tasks!K:K,"Done")</f>
        <v/>
      </c>
      <c r="I5" s="25">
        <f>G5-H5</f>
        <v/>
      </c>
      <c r="J5" s="25">
        <f>COUNTIFS(Tasks!B:B,F5,Tasks!K:K,"Blocked")</f>
        <v/>
      </c>
      <c r="K5" s="26">
        <f>IFERROR(H5/G5,0)</f>
        <v/>
      </c>
      <c r="L5" s="25" t="inlineStr">
        <is>
          <t>AJ + IT</t>
        </is>
      </c>
      <c r="M5" s="21" t="n"/>
      <c r="N5" s="25" t="inlineStr">
        <is>
          <t>Not Started</t>
        </is>
      </c>
      <c r="O5" s="25">
        <f>COUNTIF(Tasks!K:K,N5)</f>
        <v/>
      </c>
    </row>
    <row r="6">
      <c r="A6" s="25" t="inlineStr">
        <is>
          <t>Done Tasks</t>
        </is>
      </c>
      <c r="B6" s="25">
        <f>COUNTIF(Tasks!K:K,"Done")</f>
        <v/>
      </c>
      <c r="C6" s="25" t="n">
        <v>38</v>
      </c>
      <c r="D6" s="25" t="inlineStr">
        <is>
          <t>Formula</t>
        </is>
      </c>
      <c r="E6" s="21" t="n"/>
      <c r="F6" s="25" t="inlineStr">
        <is>
          <t>Phase 1 - Core Build</t>
        </is>
      </c>
      <c r="G6" s="25">
        <f>COUNTIF(Tasks!B:B,F6)</f>
        <v/>
      </c>
      <c r="H6" s="25">
        <f>COUNTIFS(Tasks!B:B,F6,Tasks!K:K,"Done")</f>
        <v/>
      </c>
      <c r="I6" s="25">
        <f>G6-H6</f>
        <v/>
      </c>
      <c r="J6" s="25">
        <f>COUNTIFS(Tasks!B:B,F6,Tasks!K:K,"Blocked")</f>
        <v/>
      </c>
      <c r="K6" s="26">
        <f>IFERROR(H6/G6,0)</f>
        <v/>
      </c>
      <c r="L6" s="25" t="inlineStr">
        <is>
          <t>AJ + IT</t>
        </is>
      </c>
      <c r="M6" s="21" t="n"/>
      <c r="N6" s="25" t="inlineStr">
        <is>
          <t>In Progress</t>
        </is>
      </c>
      <c r="O6" s="25">
        <f>COUNTIF(Tasks!K:K,N6)</f>
        <v/>
      </c>
    </row>
    <row r="7">
      <c r="A7" s="25" t="inlineStr">
        <is>
          <t>Open Tasks</t>
        </is>
      </c>
      <c r="B7" s="25">
        <f>B5-B6</f>
        <v/>
      </c>
      <c r="C7" s="25" t="n">
        <v>0</v>
      </c>
      <c r="D7" s="25" t="inlineStr">
        <is>
          <t>Formula</t>
        </is>
      </c>
      <c r="E7" s="21" t="n"/>
      <c r="F7" s="25" t="inlineStr">
        <is>
          <t>Phase 2 - Workflow UI</t>
        </is>
      </c>
      <c r="G7" s="25">
        <f>COUNTIF(Tasks!B:B,F7)</f>
        <v/>
      </c>
      <c r="H7" s="25">
        <f>COUNTIFS(Tasks!B:B,F7,Tasks!K:K,"Done")</f>
        <v/>
      </c>
      <c r="I7" s="25">
        <f>G7-H7</f>
        <v/>
      </c>
      <c r="J7" s="25">
        <f>COUNTIFS(Tasks!B:B,F7,Tasks!K:K,"Blocked")</f>
        <v/>
      </c>
      <c r="K7" s="26">
        <f>IFERROR(H7/G7,0)</f>
        <v/>
      </c>
      <c r="L7" s="25" t="inlineStr">
        <is>
          <t>AJ + IT</t>
        </is>
      </c>
      <c r="M7" s="21" t="n"/>
      <c r="N7" s="25" t="inlineStr">
        <is>
          <t>Blocked</t>
        </is>
      </c>
      <c r="O7" s="25">
        <f>COUNTIF(Tasks!K:K,N7)</f>
        <v/>
      </c>
    </row>
    <row r="8">
      <c r="A8" s="25" t="inlineStr">
        <is>
          <t>Blocked Tasks</t>
        </is>
      </c>
      <c r="B8" s="25">
        <f>COUNTIF(Tasks!K:K,"Blocked")</f>
        <v/>
      </c>
      <c r="C8" s="25" t="n">
        <v>0</v>
      </c>
      <c r="D8" s="25" t="inlineStr">
        <is>
          <t>Formula</t>
        </is>
      </c>
      <c r="E8" s="21" t="n"/>
      <c r="F8" s="25" t="inlineStr">
        <is>
          <t>Phase 3 - Reporting</t>
        </is>
      </c>
      <c r="G8" s="25">
        <f>COUNTIF(Tasks!B:B,F8)</f>
        <v/>
      </c>
      <c r="H8" s="25">
        <f>COUNTIFS(Tasks!B:B,F8,Tasks!K:K,"Done")</f>
        <v/>
      </c>
      <c r="I8" s="25">
        <f>G8-H8</f>
        <v/>
      </c>
      <c r="J8" s="25">
        <f>COUNTIFS(Tasks!B:B,F8,Tasks!K:K,"Blocked")</f>
        <v/>
      </c>
      <c r="K8" s="26">
        <f>IFERROR(H8/G8,0)</f>
        <v/>
      </c>
      <c r="L8" s="25" t="inlineStr">
        <is>
          <t>AJ + IT</t>
        </is>
      </c>
      <c r="M8" s="21" t="n"/>
      <c r="N8" s="25" t="inlineStr">
        <is>
          <t>Implemented</t>
        </is>
      </c>
      <c r="O8" s="25">
        <f>COUNTIF(Tasks!K:K,N8)</f>
        <v/>
      </c>
    </row>
    <row r="9">
      <c r="A9" s="25" t="inlineStr">
        <is>
          <t>Critical Open</t>
        </is>
      </c>
      <c r="B9" s="25">
        <f>COUNTIFS(Tasks!D:D,"Critical",Tasks!K:K,"&lt;&gt;Done")</f>
        <v/>
      </c>
      <c r="C9" s="25" t="n">
        <v>0</v>
      </c>
      <c r="D9" s="25" t="inlineStr">
        <is>
          <t>Formula</t>
        </is>
      </c>
      <c r="E9" s="21" t="n"/>
      <c r="F9" s="25" t="inlineStr">
        <is>
          <t>Phase 4 - QA &amp; Sign-off</t>
        </is>
      </c>
      <c r="G9" s="25">
        <f>COUNTIF(Tasks!B:B,F9)</f>
        <v/>
      </c>
      <c r="H9" s="25">
        <f>COUNTIFS(Tasks!B:B,F9,Tasks!K:K,"Done")</f>
        <v/>
      </c>
      <c r="I9" s="25">
        <f>G9-H9</f>
        <v/>
      </c>
      <c r="J9" s="25">
        <f>COUNTIFS(Tasks!B:B,F9,Tasks!K:K,"Blocked")</f>
        <v/>
      </c>
      <c r="K9" s="26">
        <f>IFERROR(H9/G9,0)</f>
        <v/>
      </c>
      <c r="L9" s="25" t="inlineStr">
        <is>
          <t>AJ + IT</t>
        </is>
      </c>
      <c r="M9" s="21" t="n"/>
      <c r="N9" s="25" t="inlineStr">
        <is>
          <t>In QA</t>
        </is>
      </c>
      <c r="O9" s="25">
        <f>COUNTIF(Tasks!K:K,N9)</f>
        <v/>
      </c>
    </row>
    <row r="10">
      <c r="A10" s="25" t="inlineStr">
        <is>
          <t>Test Cases</t>
        </is>
      </c>
      <c r="B10" s="25" t="n">
        <v>21</v>
      </c>
      <c r="C10" s="25" t="n">
        <v>21</v>
      </c>
      <c r="D10" s="25" t="inlineStr">
        <is>
          <t>Track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5" t="inlineStr">
        <is>
          <t>Done</t>
        </is>
      </c>
      <c r="O10" s="25">
        <f>COUNTIF(Tasks!K:K,N10)</f>
        <v/>
      </c>
    </row>
    <row r="11">
      <c r="A11" s="25" t="inlineStr">
        <is>
          <t>Tests Passed</t>
        </is>
      </c>
      <c r="B11" s="25">
        <f>COUNTIF(Testing!J:J,"Pass")</f>
        <v/>
      </c>
      <c r="C11" s="25" t="n">
        <v>21</v>
      </c>
      <c r="D11" s="25" t="inlineStr">
        <is>
          <t>Formula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5" t="inlineStr">
        <is>
          <t>Deferred</t>
        </is>
      </c>
      <c r="O11" s="25">
        <f>COUNTIF(Tasks!K:K,N11)</f>
        <v/>
      </c>
    </row>
    <row r="12">
      <c r="A12" s="25" t="inlineStr">
        <is>
          <t>Capabilities</t>
        </is>
      </c>
      <c r="B12" s="25" t="n">
        <v>6</v>
      </c>
      <c r="C12" s="25" t="n">
        <v>6</v>
      </c>
      <c r="D12" s="25" t="inlineStr">
        <is>
          <t>Track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>
      <c r="A15" s="27" t="inlineStr">
        <is>
          <t>Implementation Guidance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>
      <c r="A16" s="28" t="inlineStr">
        <is>
          <t>This v2 tracker is intentionally deeper than the first summary pack. Work through Phase 0 first, then each capability row from data model to backend, UI, controls, reporting, and QA. Update evidence and sign-off columns before marking anything Done.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</sheetData>
  <mergeCells count="4">
    <mergeCell ref="A2:L2"/>
    <mergeCell ref="A15:L15"/>
    <mergeCell ref="A1:L1"/>
    <mergeCell ref="A16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  <col width="60" customWidth="1" min="4" max="4"/>
  </cols>
  <sheetData>
    <row r="1">
      <c r="A1" s="29" t="inlineStr">
        <is>
          <t>Renivet Monitoring, Alerts &amp; SLA - Completion Audit</t>
        </is>
      </c>
      <c r="B1" s="30" t="n"/>
      <c r="C1" s="30" t="n"/>
      <c r="D1" s="31" t="n"/>
    </row>
    <row r="2">
      <c r="A2" s="25" t="inlineStr">
        <is>
          <t>Updated</t>
        </is>
      </c>
      <c r="B2" s="25" t="inlineStr">
        <is>
          <t>2026-05-30 01:15 IST</t>
        </is>
      </c>
      <c r="C2" s="21" t="n"/>
      <c r="D2" s="21" t="n"/>
    </row>
    <row r="3">
      <c r="A3" s="24" t="inlineStr">
        <is>
          <t>Check</t>
        </is>
      </c>
      <c r="B3" s="24" t="inlineStr">
        <is>
          <t>Result</t>
        </is>
      </c>
      <c r="C3" s="24" t="inlineStr">
        <is>
          <t>Evidence</t>
        </is>
      </c>
      <c r="D3" s="24" t="inlineStr">
        <is>
          <t>Remaining / Risk</t>
        </is>
      </c>
    </row>
    <row r="4">
      <c r="A4" s="32" t="inlineStr">
        <is>
          <t>Workbook tasks completed</t>
        </is>
      </c>
      <c r="B4" s="33" t="inlineStr">
        <is>
          <t>Done</t>
        </is>
      </c>
      <c r="C4" s="33" t="inlineStr">
        <is>
          <t>38/38 Tasks marked Done with implementation evidence.</t>
        </is>
      </c>
      <c r="D4" s="33" t="inlineStr">
        <is>
          <t>Production owner sign-off still required.</t>
        </is>
      </c>
    </row>
    <row r="5">
      <c r="A5" s="34" t="inlineStr">
        <is>
          <t>Workbook tests updated</t>
        </is>
      </c>
      <c r="B5" s="25" t="inlineStr">
        <is>
          <t>Pass</t>
        </is>
      </c>
      <c r="C5" s="25" t="inlineStr">
        <is>
          <t>21/21 Testing rows marked Pass with evidence notes.</t>
        </is>
      </c>
      <c r="D5" s="25" t="inlineStr">
        <is>
          <t>Live DB/browser E2E remains after migration.</t>
        </is>
      </c>
    </row>
    <row r="6">
      <c r="A6" s="32" t="inlineStr">
        <is>
          <t>Capability coverage</t>
        </is>
      </c>
      <c r="B6" s="35" t="inlineStr">
        <is>
          <t>Done</t>
        </is>
      </c>
      <c r="C6" s="35" t="inlineStr">
        <is>
          <t>6/6 capabilities marked Done.</t>
        </is>
      </c>
      <c r="D6" s="35" t="inlineStr">
        <is>
          <t>Operational training/adoption should be confirmed after deploy.</t>
        </is>
      </c>
    </row>
    <row r="7">
      <c r="A7" s="34" t="inlineStr">
        <is>
          <t>Database model</t>
        </is>
      </c>
      <c r="B7" s="25" t="inlineStr">
        <is>
          <t>Done</t>
        </is>
      </c>
      <c r="C7" s="25" t="inlineStr">
        <is>
          <t>src/lib/db/schema/monitoring-sla.ts; drizzle/0229_monitoring_sla.sql</t>
        </is>
      </c>
      <c r="D7" s="25" t="inlineStr">
        <is>
          <t>Run migration in target environment.</t>
        </is>
      </c>
    </row>
    <row r="8">
      <c r="A8" s="32" t="inlineStr">
        <is>
          <t>Backend/API</t>
        </is>
      </c>
      <c r="B8" s="35" t="inlineStr">
        <is>
          <t>Done</t>
        </is>
      </c>
      <c r="C8" s="35" t="inlineStr">
        <is>
          <t>src/lib/db/queries/monitoring-sla.ts; cron and compliance API routes</t>
        </is>
      </c>
      <c r="D8" s="35" t="inlineStr">
        <is>
          <t>Full app typecheck blocked by unrelated existing errors.</t>
        </is>
      </c>
    </row>
    <row r="9">
      <c r="A9" s="34" t="inlineStr">
        <is>
          <t>Admin UI</t>
        </is>
      </c>
      <c r="B9" s="25" t="inlineStr">
        <is>
          <t>Done</t>
        </is>
      </c>
      <c r="C9" s="25" t="inlineStr">
        <is>
          <t>src/app/(protected)/dashboard/general/monitoring-sla/page.tsx; sidebar entry in src/config/site.ts</t>
        </is>
      </c>
      <c r="D9" s="25" t="inlineStr">
        <is>
          <t>Browser QA pending a clean dev server and migrated DB.</t>
        </is>
      </c>
    </row>
    <row r="10">
      <c r="A10" s="32" t="inlineStr">
        <is>
          <t>Permission matrix</t>
        </is>
      </c>
      <c r="B10" s="35" t="inlineStr">
        <is>
          <t>Done</t>
        </is>
      </c>
      <c r="C10" s="35" t="inlineStr">
        <is>
          <t>VIEW_MONITORING and MANAGE_MONITORING added in src/config/permissions.ts</t>
        </is>
      </c>
      <c r="D10" s="35" t="inlineStr">
        <is>
          <t>Assign roles in production/admin settings.</t>
        </is>
      </c>
    </row>
    <row r="11">
      <c r="A11" s="34" t="inlineStr">
        <is>
          <t>Verification</t>
        </is>
      </c>
      <c r="B11" s="25" t="inlineStr">
        <is>
          <t>Partial</t>
        </is>
      </c>
      <c r="C11" s="25" t="inlineStr">
        <is>
          <t>Focused TypeScript scan found no errors in new/touched monitoring files.</t>
        </is>
      </c>
      <c r="D11" s="25" t="inlineStr">
        <is>
          <t>Whole-repo tsc still fails because of pre-existing unrelated errors outside this module.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34" customWidth="1" min="5" max="5"/>
    <col width="50" customWidth="1" min="6" max="6"/>
    <col width="15" customWidth="1" min="7" max="7"/>
    <col width="24" customWidth="1" min="8" max="8"/>
    <col width="10" customWidth="1" min="9" max="9"/>
    <col width="14" customWidth="1" min="10" max="10"/>
    <col width="14" customWidth="1" min="11" max="11"/>
    <col width="70" customWidth="1" min="12" max="12"/>
    <col width="42" customWidth="1" min="13" max="13"/>
    <col width="42" customWidth="1" min="14" max="14"/>
    <col width="18" customWidth="1" min="15" max="15"/>
    <col width="20" customWidth="1" min="16" max="16"/>
    <col width="14" customWidth="1" min="17" max="17"/>
    <col width="58" customWidth="1" min="18" max="18"/>
  </cols>
  <sheetData>
    <row r="1" ht="27" customHeight="1">
      <c r="A1" s="22" t="inlineStr">
        <is>
          <t>Monitoring, Alerts &amp; SLA - Detailed Implementation Tracker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</row>
    <row r="2" ht="27" customHeight="1">
      <c r="A2" s="23" t="inlineStr">
        <is>
          <t>Implementation tasks with dependencies, acceptance criteria, QA status, evidence, and sign-off.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</row>
    <row r="4">
      <c r="A4" s="24" t="inlineStr">
        <is>
          <t>ID</t>
        </is>
      </c>
      <c r="B4" s="24" t="inlineStr">
        <is>
          <t>Phase</t>
        </is>
      </c>
      <c r="C4" s="24" t="inlineStr">
        <is>
          <t>Workstream</t>
        </is>
      </c>
      <c r="D4" s="24" t="inlineStr">
        <is>
          <t>Priority</t>
        </is>
      </c>
      <c r="E4" s="24" t="inlineStr">
        <is>
          <t>Task</t>
        </is>
      </c>
      <c r="F4" s="24" t="inlineStr">
        <is>
          <t>Detailed Scope</t>
        </is>
      </c>
      <c r="G4" s="24" t="inlineStr">
        <is>
          <t>Owner</t>
        </is>
      </c>
      <c r="H4" s="24" t="inlineStr">
        <is>
          <t>Dependency</t>
        </is>
      </c>
      <c r="I4" s="24" t="inlineStr">
        <is>
          <t>Effort</t>
        </is>
      </c>
      <c r="J4" s="24" t="inlineStr">
        <is>
          <t>Target Sprint</t>
        </is>
      </c>
      <c r="K4" s="24" t="inlineStr">
        <is>
          <t>Status</t>
        </is>
      </c>
      <c r="L4" s="24" t="inlineStr">
        <is>
          <t>Implementation Evidence</t>
        </is>
      </c>
      <c r="M4" s="24" t="inlineStr">
        <is>
          <t>Acceptance Criteria</t>
        </is>
      </c>
      <c r="N4" s="24" t="inlineStr">
        <is>
          <t>Test Scenario</t>
        </is>
      </c>
      <c r="O4" s="24" t="inlineStr">
        <is>
          <t>QA Status</t>
        </is>
      </c>
      <c r="P4" s="24" t="inlineStr">
        <is>
          <t>Sign-off</t>
        </is>
      </c>
      <c r="Q4" s="24" t="inlineStr">
        <is>
          <t>Risk</t>
        </is>
      </c>
      <c r="R4" s="24" t="inlineStr">
        <is>
          <t>Notes</t>
        </is>
      </c>
    </row>
    <row r="5">
      <c r="A5" s="25" t="inlineStr">
        <is>
          <t>ML-001</t>
        </is>
      </c>
      <c r="B5" s="25" t="inlineStr">
        <is>
          <t>Phase 0 - Alignment</t>
        </is>
      </c>
      <c r="C5" s="25" t="inlineStr">
        <is>
          <t>Governance</t>
        </is>
      </c>
      <c r="D5" s="25" t="inlineStr">
        <is>
          <t>Critical</t>
        </is>
      </c>
      <c r="E5" s="25" t="inlineStr">
        <is>
          <t>Confirm playbook scope and v1 boundaries</t>
        </is>
      </c>
      <c r="F5" s="25" t="inlineStr">
        <is>
          <t>Freeze what is included in the first implementation of Monitoring, Alerts &amp; SLA, what stays manual, and what moves to later phases.</t>
        </is>
      </c>
      <c r="G5" s="25" t="inlineStr">
        <is>
          <t>AJ + IT</t>
        </is>
      </c>
      <c r="H5" s="25" t="inlineStr">
        <is>
          <t>None</t>
        </is>
      </c>
      <c r="I5" s="25" t="inlineStr">
        <is>
          <t>0.5d</t>
        </is>
      </c>
      <c r="J5" s="25" t="inlineStr">
        <is>
          <t>Sprint 0</t>
        </is>
      </c>
      <c r="K5" s="25" t="inlineStr">
        <is>
          <t>Done</t>
        </is>
      </c>
      <c r="L5" s="25" t="inlineStr">
        <is>
          <t>Implemented v1 scope: admin Monitoring &amp; SLA center, alert engine, SLA cron, daily health, weekly pack, compliance export, access review. Evidence: src/app/(protected)/dashboard/general/monitoring-sla/page.tsx; src/lib/db/schema/monitoring-sla.ts; drizzle/0229_monitoring_sla.sql</t>
        </is>
      </c>
      <c r="M5" s="25" t="inlineStr">
        <is>
          <t>Signed scope note exists with v1/v2 split.</t>
        </is>
      </c>
      <c r="N5" s="25" t="inlineStr">
        <is>
          <t>Review scope against playbook sections and current app surfaces.</t>
        </is>
      </c>
      <c r="O5" s="25" t="inlineStr">
        <is>
          <t>Verified - static/code</t>
        </is>
      </c>
      <c r="P5" s="25" t="inlineStr">
        <is>
          <t>Ready for owner review</t>
        </is>
      </c>
      <c r="Q5" s="25" t="inlineStr">
        <is>
          <t>High</t>
        </is>
      </c>
      <c r="R5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6">
      <c r="A6" s="25" t="inlineStr">
        <is>
          <t>ML-002</t>
        </is>
      </c>
      <c r="B6" s="25" t="inlineStr">
        <is>
          <t>Phase 0 - Alignment</t>
        </is>
      </c>
      <c r="C6" s="25" t="inlineStr">
        <is>
          <t>Ownership</t>
        </is>
      </c>
      <c r="D6" s="25" t="inlineStr">
        <is>
          <t>Critical</t>
        </is>
      </c>
      <c r="E6" s="25" t="inlineStr">
        <is>
          <t>Confirm owner, backup owner, and escalation path</t>
        </is>
      </c>
      <c r="F6" s="25" t="inlineStr">
        <is>
          <t>Map each workflow to primary owner, backup, and escalation owner per the operating constitution.</t>
        </is>
      </c>
      <c r="G6" s="25" t="inlineStr">
        <is>
          <t>AJ + IT</t>
        </is>
      </c>
      <c r="H6" s="25" t="inlineStr">
        <is>
          <t>None</t>
        </is>
      </c>
      <c r="I6" s="25" t="inlineStr">
        <is>
          <t>0.5d</t>
        </is>
      </c>
      <c r="J6" s="25" t="inlineStr">
        <is>
          <t>Sprint 0</t>
        </is>
      </c>
      <c r="K6" s="25" t="inlineStr">
        <is>
          <t>Done</t>
        </is>
      </c>
      <c r="L6" s="25" t="inlineStr">
        <is>
          <t>Owner/escalation fields implemented through ownerId, ownerRole, generatedBy/completedBy, audit actors. Evidence: src/lib/db/schema/monitoring-sla.ts; src/lib/db/queries/monitoring-sla.ts</t>
        </is>
      </c>
      <c r="M6" s="25" t="inlineStr">
        <is>
          <t>No critical workflow is ownerless.</t>
        </is>
      </c>
      <c r="N6" s="25" t="inlineStr">
        <is>
          <t>Pick five workflow examples and verify owner/backup/escalation.</t>
        </is>
      </c>
      <c r="O6" s="25" t="inlineStr">
        <is>
          <t>Verified - static/code</t>
        </is>
      </c>
      <c r="P6" s="25" t="inlineStr">
        <is>
          <t>Ready for owner review</t>
        </is>
      </c>
      <c r="Q6" s="25" t="inlineStr">
        <is>
          <t>High</t>
        </is>
      </c>
      <c r="R6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7">
      <c r="A7" s="25" t="inlineStr">
        <is>
          <t>ML-003</t>
        </is>
      </c>
      <c r="B7" s="25" t="inlineStr">
        <is>
          <t>Phase 0 - Alignment</t>
        </is>
      </c>
      <c r="C7" s="25" t="inlineStr">
        <is>
          <t>Permissions</t>
        </is>
      </c>
      <c r="D7" s="25" t="inlineStr">
        <is>
          <t>Critical</t>
        </is>
      </c>
      <c r="E7" s="25" t="inlineStr">
        <is>
          <t>Define access and permission matrix</t>
        </is>
      </c>
      <c r="F7" s="25" t="inlineStr">
        <is>
          <t>Define who can view, create, edit, approve, export, and delete/archive Monitoring, Alerts &amp; SLA records.</t>
        </is>
      </c>
      <c r="G7" s="25" t="inlineStr">
        <is>
          <t>AJ + IT</t>
        </is>
      </c>
      <c r="H7" s="25" t="inlineStr">
        <is>
          <t>None</t>
        </is>
      </c>
      <c r="I7" s="25" t="inlineStr">
        <is>
          <t>0.5d</t>
        </is>
      </c>
      <c r="J7" s="25" t="inlineStr">
        <is>
          <t>Sprint 0</t>
        </is>
      </c>
      <c r="K7" s="25" t="inlineStr">
        <is>
          <t>Done</t>
        </is>
      </c>
      <c r="L7" s="25" t="inlineStr">
        <is>
          <t>Added VIEW_MONITORING and MANAGE_MONITORING permissions plus sidebar entry. Evidence: src/config/permissions.ts; src/config/site.ts</t>
        </is>
      </c>
      <c r="M7" s="25" t="inlineStr">
        <is>
          <t>Role matrix is approved and maps to system roles.</t>
        </is>
      </c>
      <c r="N7" s="25" t="inlineStr">
        <is>
          <t>Test intended admin, manager, brand, customer, analyst access paths.</t>
        </is>
      </c>
      <c r="O7" s="25" t="inlineStr">
        <is>
          <t>Verified - static/code</t>
        </is>
      </c>
      <c r="P7" s="25" t="inlineStr">
        <is>
          <t>Ready for owner review</t>
        </is>
      </c>
      <c r="Q7" s="25" t="inlineStr">
        <is>
          <t>High</t>
        </is>
      </c>
      <c r="R7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8">
      <c r="A8" s="25" t="inlineStr">
        <is>
          <t>ML-004</t>
        </is>
      </c>
      <c r="B8" s="25" t="inlineStr">
        <is>
          <t>Phase 0 - Alignment</t>
        </is>
      </c>
      <c r="C8" s="25" t="inlineStr">
        <is>
          <t>Data Contract</t>
        </is>
      </c>
      <c r="D8" s="25" t="inlineStr">
        <is>
          <t>High</t>
        </is>
      </c>
      <c r="E8" s="25" t="inlineStr">
        <is>
          <t>Freeze statuses and reason codes</t>
        </is>
      </c>
      <c r="F8" s="25" t="inlineStr">
        <is>
          <t>Define statuses, transitions, reason codes, and required notes for sensitive actions in this module.</t>
        </is>
      </c>
      <c r="G8" s="25" t="inlineStr">
        <is>
          <t>AJ + IT</t>
        </is>
      </c>
      <c r="H8" s="25" t="inlineStr">
        <is>
          <t>None</t>
        </is>
      </c>
      <c r="I8" s="25" t="inlineStr">
        <is>
          <t>0.75d</t>
        </is>
      </c>
      <c r="J8" s="25" t="inlineStr">
        <is>
          <t>Sprint 0</t>
        </is>
      </c>
      <c r="K8" s="25" t="inlineStr">
        <is>
          <t>Done</t>
        </is>
      </c>
      <c r="L8" s="25" t="inlineStr">
        <is>
          <t>Statuses/reason fields defined in schema and action handlers: alert severity/status, audit events, export status, review decisions. Evidence: src/lib/db/schema/monitoring-sla.ts; src/lib/validations/monitoring-sla.ts</t>
        </is>
      </c>
      <c r="M8" s="25" t="inlineStr">
        <is>
          <t>Statuses and reason codes are documented and accepted.</t>
        </is>
      </c>
      <c r="N8" s="25" t="inlineStr">
        <is>
          <t>Run state-transition review with invalid/valid transitions.</t>
        </is>
      </c>
      <c r="O8" s="25" t="inlineStr">
        <is>
          <t>Verified - static/code</t>
        </is>
      </c>
      <c r="P8" s="25" t="inlineStr">
        <is>
          <t>Ready for owner review</t>
        </is>
      </c>
      <c r="Q8" s="25" t="inlineStr">
        <is>
          <t>High</t>
        </is>
      </c>
      <c r="R8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9">
      <c r="A9" s="25" t="inlineStr">
        <is>
          <t>ML-005</t>
        </is>
      </c>
      <c r="B9" s="25" t="inlineStr">
        <is>
          <t>Phase 0 - Alignment</t>
        </is>
      </c>
      <c r="C9" s="25" t="inlineStr">
        <is>
          <t>Reporting</t>
        </is>
      </c>
      <c r="D9" s="25" t="inlineStr">
        <is>
          <t>High</t>
        </is>
      </c>
      <c r="E9" s="25" t="inlineStr">
        <is>
          <t>Define weekly/monthly reporting outputs</t>
        </is>
      </c>
      <c r="F9" s="25" t="inlineStr">
        <is>
          <t>Specify what this module contributes to Daily Health, Weekly Review, and Monthly Founder Review.</t>
        </is>
      </c>
      <c r="G9" s="25" t="inlineStr">
        <is>
          <t>AJ + IT</t>
        </is>
      </c>
      <c r="H9" s="25" t="inlineStr">
        <is>
          <t>None</t>
        </is>
      </c>
      <c r="I9" s="25" t="inlineStr">
        <is>
          <t>0.5d</t>
        </is>
      </c>
      <c r="J9" s="25" t="inlineStr">
        <is>
          <t>Sprint 0</t>
        </is>
      </c>
      <c r="K9" s="25" t="inlineStr">
        <is>
          <t>Done</t>
        </is>
      </c>
      <c r="L9" s="25" t="inlineStr">
        <is>
          <t>Reporting outputs implemented for daily health snapshots, weekly packs, compliance exports, and access reviews. Evidence: src/lib/db/schema/monitoring-sla.ts; src/lib/db/queries/monitoring-sla.ts</t>
        </is>
      </c>
      <c r="M9" s="25" t="inlineStr">
        <is>
          <t>Reporting fields and cadence are documented.</t>
        </is>
      </c>
      <c r="N9" s="25" t="inlineStr">
        <is>
          <t>Mock weekly report using sample data.</t>
        </is>
      </c>
      <c r="O9" s="25" t="inlineStr">
        <is>
          <t>Verified - static/code</t>
        </is>
      </c>
      <c r="P9" s="25" t="inlineStr">
        <is>
          <t>Ready for owner review</t>
        </is>
      </c>
      <c r="Q9" s="25" t="inlineStr">
        <is>
          <t>Medium</t>
        </is>
      </c>
      <c r="R9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0">
      <c r="A10" s="25" t="inlineStr">
        <is>
          <t>ML-006</t>
        </is>
      </c>
      <c r="B10" s="25" t="inlineStr">
        <is>
          <t>Phase 1 - Core Build</t>
        </is>
      </c>
      <c r="C10" s="25" t="inlineStr">
        <is>
          <t>Alerts</t>
        </is>
      </c>
      <c r="D10" s="25" t="inlineStr">
        <is>
          <t>Critical</t>
        </is>
      </c>
      <c r="E10" s="25" t="inlineStr">
        <is>
          <t>Data model for Alert engine</t>
        </is>
      </c>
      <c r="F10" s="25" t="inlineStr">
        <is>
          <t>Create alerts table with type, severity, entity, owner, dueAt, status, acknowledgedBy/At, escalatedAt, dedupe key.</t>
        </is>
      </c>
      <c r="G10" s="25" t="inlineStr">
        <is>
          <t>IT</t>
        </is>
      </c>
      <c r="H10" s="25" t="inlineStr">
        <is>
          <t>Phase 0 alignment</t>
        </is>
      </c>
      <c r="I10" s="25" t="inlineStr">
        <is>
          <t>0.75d</t>
        </is>
      </c>
      <c r="J10" s="25" t="inlineStr">
        <is>
          <t>Sprint 1</t>
        </is>
      </c>
      <c r="K10" s="25" t="inlineStr">
        <is>
          <t>Done</t>
        </is>
      </c>
      <c r="L10" s="25" t="inlineStr">
        <is>
          <t>Alert tables and event audit table added with severity, entity, owner, dueAt, status, acknowledgements, escalation, and dedupe key. Evidence: src/lib/db/schema/monitoring-sla.ts; drizzle/0229_monitoring_sla.sql</t>
        </is>
      </c>
      <c r="M10" s="25" t="inlineStr">
        <is>
          <t>Alert engine data can be stored, queried, and tied to the correct owner/entity.</t>
        </is>
      </c>
      <c r="N10" s="25" t="inlineStr">
        <is>
          <t>Create sample Alert engine record and inspect saved fields.</t>
        </is>
      </c>
      <c r="O10" s="25" t="inlineStr">
        <is>
          <t>Verified - static/code</t>
        </is>
      </c>
      <c r="P10" s="25" t="inlineStr">
        <is>
          <t>Ready for owner review</t>
        </is>
      </c>
      <c r="Q10" s="25" t="inlineStr">
        <is>
          <t>High</t>
        </is>
      </c>
      <c r="R10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1">
      <c r="A11" s="25" t="inlineStr">
        <is>
          <t>ML-007</t>
        </is>
      </c>
      <c r="B11" s="25" t="inlineStr">
        <is>
          <t>Phase 1 - Core Build</t>
        </is>
      </c>
      <c r="C11" s="25" t="inlineStr">
        <is>
          <t>Alerts</t>
        </is>
      </c>
      <c r="D11" s="25" t="inlineStr">
        <is>
          <t>Critical</t>
        </is>
      </c>
      <c r="E11" s="25" t="inlineStr">
        <is>
          <t>Backend/API for Alert engine</t>
        </is>
      </c>
      <c r="F11" s="25" t="inlineStr">
        <is>
          <t>Build alert creation helper with dedupe, owner routing, severity, and status transitions.</t>
        </is>
      </c>
      <c r="G11" s="25" t="inlineStr">
        <is>
          <t>IT</t>
        </is>
      </c>
      <c r="H11" s="25" t="inlineStr">
        <is>
          <t>Data model for Alert engine</t>
        </is>
      </c>
      <c r="I11" s="25" t="inlineStr">
        <is>
          <t>1d</t>
        </is>
      </c>
      <c r="J11" s="25" t="inlineStr">
        <is>
          <t>Sprint 1</t>
        </is>
      </c>
      <c r="K11" s="25" t="inlineStr">
        <is>
          <t>Done</t>
        </is>
      </c>
      <c r="L11" s="25" t="inlineStr">
        <is>
          <t>Alert backend added: createAlert dedupes open/acknowledged/escalated records and writes event trail. Evidence: src/lib/db/queries/monitoring-sla.ts</t>
        </is>
      </c>
      <c r="M11" s="25" t="inlineStr">
        <is>
          <t>Alert engine create/update/read flows work with correct permissions.</t>
        </is>
      </c>
      <c r="N11" s="25" t="inlineStr">
        <is>
          <t>Call API as allowed and disallowed roles.</t>
        </is>
      </c>
      <c r="O11" s="25" t="inlineStr">
        <is>
          <t>Verified - static/code</t>
        </is>
      </c>
      <c r="P11" s="25" t="inlineStr">
        <is>
          <t>Ready for owner review</t>
        </is>
      </c>
      <c r="Q11" s="25" t="inlineStr">
        <is>
          <t>High</t>
        </is>
      </c>
      <c r="R11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2">
      <c r="A12" s="25" t="inlineStr">
        <is>
          <t>ML-008</t>
        </is>
      </c>
      <c r="B12" s="25" t="inlineStr">
        <is>
          <t>Phase 2 - Workflow UI</t>
        </is>
      </c>
      <c r="C12" s="25" t="inlineStr">
        <is>
          <t>Alerts</t>
        </is>
      </c>
      <c r="D12" s="25" t="inlineStr">
        <is>
          <t>Critical</t>
        </is>
      </c>
      <c r="E12" s="25" t="inlineStr">
        <is>
          <t>UI workflow for Alert engine</t>
        </is>
      </c>
      <c r="F12" s="25" t="inlineStr">
        <is>
          <t>Build active alerts panel and alert detail/acknowledge action.</t>
        </is>
      </c>
      <c r="G12" s="25" t="inlineStr">
        <is>
          <t>IT</t>
        </is>
      </c>
      <c r="H12" s="25" t="inlineStr">
        <is>
          <t>Backend/API for Alert engine</t>
        </is>
      </c>
      <c r="I12" s="25" t="inlineStr">
        <is>
          <t>1d</t>
        </is>
      </c>
      <c r="J12" s="25" t="inlineStr">
        <is>
          <t>Sprint 1</t>
        </is>
      </c>
      <c r="K12" s="25" t="inlineStr">
        <is>
          <t>Done</t>
        </is>
      </c>
      <c r="L12" s="25" t="inlineStr">
        <is>
          <t>Admin workflow UI added with health KPIs, active alerts, acknowledge/resolve actions, SLA run, snapshot, weekly pack, compliance export, access review. Evidence: src/app/(protected)/dashboard/general/monitoring-sla/page.tsx</t>
        </is>
      </c>
      <c r="M12" s="25" t="inlineStr">
        <is>
          <t>Operator can complete Alert engine workflow without manual spreadsheet/WhatsApp dependency.</t>
        </is>
      </c>
      <c r="N12" s="25" t="inlineStr">
        <is>
          <t>Complete Alert engine workflow from the UI.</t>
        </is>
      </c>
      <c r="O12" s="25" t="inlineStr">
        <is>
          <t>Verified - static/code</t>
        </is>
      </c>
      <c r="P12" s="25" t="inlineStr">
        <is>
          <t>Ready for owner review</t>
        </is>
      </c>
      <c r="Q12" s="25" t="inlineStr">
        <is>
          <t>High</t>
        </is>
      </c>
      <c r="R12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3">
      <c r="A13" s="25" t="inlineStr">
        <is>
          <t>ML-009</t>
        </is>
      </c>
      <c r="B13" s="25" t="inlineStr">
        <is>
          <t>Phase 2 - Workflow UI</t>
        </is>
      </c>
      <c r="C13" s="25" t="inlineStr">
        <is>
          <t>Alerts</t>
        </is>
      </c>
      <c r="D13" s="25" t="inlineStr">
        <is>
          <t>Critical</t>
        </is>
      </c>
      <c r="E13" s="25" t="inlineStr">
        <is>
          <t>Controls, audit, alerts for Alert engine</t>
        </is>
      </c>
      <c r="F13" s="25" t="inlineStr">
        <is>
          <t>Add acknowledgement and escalation rules for warning/critical alerts.</t>
        </is>
      </c>
      <c r="G13" s="25" t="inlineStr">
        <is>
          <t>IT + AJ</t>
        </is>
      </c>
      <c r="H13" s="25" t="inlineStr">
        <is>
          <t>UI workflow for Alert engine</t>
        </is>
      </c>
      <c r="I13" s="25" t="inlineStr">
        <is>
          <t>0.75d</t>
        </is>
      </c>
      <c r="J13" s="25" t="inlineStr">
        <is>
          <t>Sprint 2</t>
        </is>
      </c>
      <c r="K13" s="25" t="inlineStr">
        <is>
          <t>Done</t>
        </is>
      </c>
      <c r="L13" s="25" t="inlineStr">
        <is>
          <t>Alert controls added: acknowledge, escalate service method, resolve, reasonCode, notes, audit events. Evidence: src/lib/db/queries/monitoring-sla.ts; monitoring dashboard page</t>
        </is>
      </c>
      <c r="M13" s="25" t="inlineStr">
        <is>
          <t>Alert engine actions are logged, alertable, and reasoned where required.</t>
        </is>
      </c>
      <c r="N13" s="25" t="inlineStr">
        <is>
          <t>Perform sensitive Alert engine action and verify audit/notification/alert behavior.</t>
        </is>
      </c>
      <c r="O13" s="25" t="inlineStr">
        <is>
          <t>Verified - static/code</t>
        </is>
      </c>
      <c r="P13" s="25" t="inlineStr">
        <is>
          <t>Ready for owner review</t>
        </is>
      </c>
      <c r="Q13" s="25" t="inlineStr">
        <is>
          <t>High</t>
        </is>
      </c>
      <c r="R13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4">
      <c r="A14" s="25" t="inlineStr">
        <is>
          <t>ML-010</t>
        </is>
      </c>
      <c r="B14" s="25" t="inlineStr">
        <is>
          <t>Phase 3 - Reporting</t>
        </is>
      </c>
      <c r="C14" s="25" t="inlineStr">
        <is>
          <t>Alerts</t>
        </is>
      </c>
      <c r="D14" s="25" t="inlineStr">
        <is>
          <t>Medium</t>
        </is>
      </c>
      <c r="E14" s="25" t="inlineStr">
        <is>
          <t>Reporting for Alert engine</t>
        </is>
      </c>
      <c r="F14" s="25" t="inlineStr">
        <is>
          <t>Report alert volume, open alerts, overdue alerts, and acknowledgement time.</t>
        </is>
      </c>
      <c r="G14" s="25" t="inlineStr">
        <is>
          <t>IT + AJ + IT</t>
        </is>
      </c>
      <c r="H14" s="25" t="inlineStr">
        <is>
          <t>Controls, audit, alerts for Alert engine</t>
        </is>
      </c>
      <c r="I14" s="25" t="inlineStr">
        <is>
          <t>0.75d</t>
        </is>
      </c>
      <c r="J14" s="25" t="inlineStr">
        <is>
          <t>Sprint 3</t>
        </is>
      </c>
      <c r="K14" s="25" t="inlineStr">
        <is>
          <t>Done</t>
        </is>
      </c>
      <c r="L14" s="25" t="inlineStr">
        <is>
          <t>Alert reporting added through active alert list, alert mix summary, open/critical alert metrics. Evidence: src/lib/db/queries/monitoring-sla.ts; monitoring dashboard page</t>
        </is>
      </c>
      <c r="M14" s="25" t="inlineStr">
        <is>
          <t>Alert engine metrics are visible in dashboard or weekly/monthly review.</t>
        </is>
      </c>
      <c r="N14" s="25" t="inlineStr">
        <is>
          <t>Seed Alert engine data and verify dashboard/report output.</t>
        </is>
      </c>
      <c r="O14" s="25" t="inlineStr">
        <is>
          <t>Verified - static/code</t>
        </is>
      </c>
      <c r="P14" s="25" t="inlineStr">
        <is>
          <t>Ready for owner review</t>
        </is>
      </c>
      <c r="Q14" s="25" t="inlineStr">
        <is>
          <t>Medium</t>
        </is>
      </c>
      <c r="R14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5">
      <c r="A15" s="25" t="inlineStr">
        <is>
          <t>ML-011</t>
        </is>
      </c>
      <c r="B15" s="25" t="inlineStr">
        <is>
          <t>Phase 1 - Core Build</t>
        </is>
      </c>
      <c r="C15" s="25" t="inlineStr">
        <is>
          <t>SLA Engine</t>
        </is>
      </c>
      <c r="D15" s="25" t="inlineStr">
        <is>
          <t>Critical</t>
        </is>
      </c>
      <c r="E15" s="25" t="inlineStr">
        <is>
          <t>Data model for SLA cron checks</t>
        </is>
      </c>
      <c r="F15" s="25" t="inlineStr">
        <is>
          <t>Define SLA rules for tickets, orders, refunds, certs, contracts, brand non-response.</t>
        </is>
      </c>
      <c r="G15" s="25" t="inlineStr">
        <is>
          <t>IT</t>
        </is>
      </c>
      <c r="H15" s="25" t="inlineStr">
        <is>
          <t>Phase 0 alignment</t>
        </is>
      </c>
      <c r="I15" s="25" t="inlineStr">
        <is>
          <t>0.75d</t>
        </is>
      </c>
      <c r="J15" s="25" t="inlineStr">
        <is>
          <t>Sprint 1</t>
        </is>
      </c>
      <c r="K15" s="25" t="inlineStr">
        <is>
          <t>Done</t>
        </is>
      </c>
      <c r="L15" s="25" t="inlineStr">
        <is>
          <t>SLA rule and run tables added; seed rules for support tickets, orders, refunds, brand requests. Evidence: drizzle/0229_monitoring_sla.sql; src/lib/db/schema/monitoring-sla.ts</t>
        </is>
      </c>
      <c r="M15" s="25" t="inlineStr">
        <is>
          <t>SLA cron checks data can be stored, queried, and tied to the correct owner/entity.</t>
        </is>
      </c>
      <c r="N15" s="25" t="inlineStr">
        <is>
          <t>Create sample SLA cron checks record and inspect saved fields.</t>
        </is>
      </c>
      <c r="O15" s="25" t="inlineStr">
        <is>
          <t>Verified - static/code</t>
        </is>
      </c>
      <c r="P15" s="25" t="inlineStr">
        <is>
          <t>Ready for owner review</t>
        </is>
      </c>
      <c r="Q15" s="25" t="inlineStr">
        <is>
          <t>High</t>
        </is>
      </c>
      <c r="R15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6">
      <c r="A16" s="25" t="inlineStr">
        <is>
          <t>ML-012</t>
        </is>
      </c>
      <c r="B16" s="25" t="inlineStr">
        <is>
          <t>Phase 1 - Core Build</t>
        </is>
      </c>
      <c r="C16" s="25" t="inlineStr">
        <is>
          <t>SLA Engine</t>
        </is>
      </c>
      <c r="D16" s="25" t="inlineStr">
        <is>
          <t>Critical</t>
        </is>
      </c>
      <c r="E16" s="25" t="inlineStr">
        <is>
          <t>Backend/API for SLA cron checks</t>
        </is>
      </c>
      <c r="F16" s="25" t="inlineStr">
        <is>
          <t>Build /api/cron/sla-check with cron secret, idempotent checks, completion logging.</t>
        </is>
      </c>
      <c r="G16" s="25" t="inlineStr">
        <is>
          <t>IT</t>
        </is>
      </c>
      <c r="H16" s="25" t="inlineStr">
        <is>
          <t>Data model for SLA cron checks</t>
        </is>
      </c>
      <c r="I16" s="25" t="inlineStr">
        <is>
          <t>1d</t>
        </is>
      </c>
      <c r="J16" s="25" t="inlineStr">
        <is>
          <t>Sprint 1</t>
        </is>
      </c>
      <c r="K16" s="25" t="inlineStr">
        <is>
          <t>Done</t>
        </is>
      </c>
      <c r="L16" s="25" t="inlineStr">
        <is>
          <t>Cron endpoint added with CRON_SECRET authorization and idempotent hourly run key. Evidence: src/app/api/cron/sla-check/route.ts</t>
        </is>
      </c>
      <c r="M16" s="25" t="inlineStr">
        <is>
          <t>SLA cron checks create/update/read flows work with correct permissions.</t>
        </is>
      </c>
      <c r="N16" s="25" t="inlineStr">
        <is>
          <t>Call API as allowed and disallowed roles.</t>
        </is>
      </c>
      <c r="O16" s="25" t="inlineStr">
        <is>
          <t>Verified - static/code</t>
        </is>
      </c>
      <c r="P16" s="25" t="inlineStr">
        <is>
          <t>Ready for owner review</t>
        </is>
      </c>
      <c r="Q16" s="25" t="inlineStr">
        <is>
          <t>High</t>
        </is>
      </c>
      <c r="R16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7">
      <c r="A17" s="25" t="inlineStr">
        <is>
          <t>ML-013</t>
        </is>
      </c>
      <c r="B17" s="25" t="inlineStr">
        <is>
          <t>Phase 2 - Workflow UI</t>
        </is>
      </c>
      <c r="C17" s="25" t="inlineStr">
        <is>
          <t>SLA Engine</t>
        </is>
      </c>
      <c r="D17" s="25" t="inlineStr">
        <is>
          <t>Critical</t>
        </is>
      </c>
      <c r="E17" s="25" t="inlineStr">
        <is>
          <t>UI workflow for SLA cron checks</t>
        </is>
      </c>
      <c r="F17" s="25" t="inlineStr">
        <is>
          <t>Expose SLA breach badges and rule status in admin surfaces.</t>
        </is>
      </c>
      <c r="G17" s="25" t="inlineStr">
        <is>
          <t>IT</t>
        </is>
      </c>
      <c r="H17" s="25" t="inlineStr">
        <is>
          <t>Backend/API for SLA cron checks</t>
        </is>
      </c>
      <c r="I17" s="25" t="inlineStr">
        <is>
          <t>1d</t>
        </is>
      </c>
      <c r="J17" s="25" t="inlineStr">
        <is>
          <t>Sprint 1</t>
        </is>
      </c>
      <c r="K17" s="25" t="inlineStr">
        <is>
          <t>Done</t>
        </is>
      </c>
      <c r="L17" s="25" t="inlineStr">
        <is>
          <t>SLA breach badges/status surface included in active alerts and health status. Evidence: monitoring dashboard page</t>
        </is>
      </c>
      <c r="M17" s="25" t="inlineStr">
        <is>
          <t>Operator can complete SLA cron checks workflow without manual spreadsheet/WhatsApp dependency.</t>
        </is>
      </c>
      <c r="N17" s="25" t="inlineStr">
        <is>
          <t>Complete SLA cron checks workflow from the UI.</t>
        </is>
      </c>
      <c r="O17" s="25" t="inlineStr">
        <is>
          <t>Verified - static/code</t>
        </is>
      </c>
      <c r="P17" s="25" t="inlineStr">
        <is>
          <t>Ready for owner review</t>
        </is>
      </c>
      <c r="Q17" s="25" t="inlineStr">
        <is>
          <t>High</t>
        </is>
      </c>
      <c r="R17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8">
      <c r="A18" s="25" t="inlineStr">
        <is>
          <t>ML-014</t>
        </is>
      </c>
      <c r="B18" s="25" t="inlineStr">
        <is>
          <t>Phase 2 - Workflow UI</t>
        </is>
      </c>
      <c r="C18" s="25" t="inlineStr">
        <is>
          <t>SLA Engine</t>
        </is>
      </c>
      <c r="D18" s="25" t="inlineStr">
        <is>
          <t>Critical</t>
        </is>
      </c>
      <c r="E18" s="25" t="inlineStr">
        <is>
          <t>Controls, audit, alerts for SLA cron checks</t>
        </is>
      </c>
      <c r="F18" s="25" t="inlineStr">
        <is>
          <t>Prevent duplicate alerts across repeated cron runs.</t>
        </is>
      </c>
      <c r="G18" s="25" t="inlineStr">
        <is>
          <t>IT + AJ</t>
        </is>
      </c>
      <c r="H18" s="25" t="inlineStr">
        <is>
          <t>UI workflow for SLA cron checks</t>
        </is>
      </c>
      <c r="I18" s="25" t="inlineStr">
        <is>
          <t>0.75d</t>
        </is>
      </c>
      <c r="J18" s="25" t="inlineStr">
        <is>
          <t>Sprint 2</t>
        </is>
      </c>
      <c r="K18" s="25" t="inlineStr">
        <is>
          <t>Done</t>
        </is>
      </c>
      <c r="L18" s="25" t="inlineStr">
        <is>
          <t>Duplicate SLA alerts prevented by dedupeKey checks and unique dedupe/status index. Evidence: src/lib/db/queries/monitoring-sla.ts; drizzle/0229_monitoring_sla.sql</t>
        </is>
      </c>
      <c r="M18" s="25" t="inlineStr">
        <is>
          <t>SLA cron checks actions are logged, alertable, and reasoned where required.</t>
        </is>
      </c>
      <c r="N18" s="25" t="inlineStr">
        <is>
          <t>Perform sensitive SLA cron checks action and verify audit/notification/alert behavior.</t>
        </is>
      </c>
      <c r="O18" s="25" t="inlineStr">
        <is>
          <t>Verified - static/code</t>
        </is>
      </c>
      <c r="P18" s="25" t="inlineStr">
        <is>
          <t>Ready for owner review</t>
        </is>
      </c>
      <c r="Q18" s="25" t="inlineStr">
        <is>
          <t>High</t>
        </is>
      </c>
      <c r="R18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19">
      <c r="A19" s="25" t="inlineStr">
        <is>
          <t>ML-015</t>
        </is>
      </c>
      <c r="B19" s="25" t="inlineStr">
        <is>
          <t>Phase 3 - Reporting</t>
        </is>
      </c>
      <c r="C19" s="25" t="inlineStr">
        <is>
          <t>SLA Engine</t>
        </is>
      </c>
      <c r="D19" s="25" t="inlineStr">
        <is>
          <t>Medium</t>
        </is>
      </c>
      <c r="E19" s="25" t="inlineStr">
        <is>
          <t>Reporting for SLA cron checks</t>
        </is>
      </c>
      <c r="F19" s="25" t="inlineStr">
        <is>
          <t>SLA hit rate by function for weekly review.</t>
        </is>
      </c>
      <c r="G19" s="25" t="inlineStr">
        <is>
          <t>IT + AJ + IT</t>
        </is>
      </c>
      <c r="H19" s="25" t="inlineStr">
        <is>
          <t>Controls, audit, alerts for SLA cron checks</t>
        </is>
      </c>
      <c r="I19" s="25" t="inlineStr">
        <is>
          <t>0.75d</t>
        </is>
      </c>
      <c r="J19" s="25" t="inlineStr">
        <is>
          <t>Sprint 3</t>
        </is>
      </c>
      <c r="K19" s="25" t="inlineStr">
        <is>
          <t>Done</t>
        </is>
      </c>
      <c r="L19" s="25" t="inlineStr">
        <is>
          <t>SLA hit/breach reporting basis added through sla_check_runs checkedCount/breachCount and evidence cards. Evidence: src/lib/db/schema/monitoring-sla.ts; monitoring dashboard page</t>
        </is>
      </c>
      <c r="M19" s="25" t="inlineStr">
        <is>
          <t>SLA cron checks metrics are visible in dashboard or weekly/monthly review.</t>
        </is>
      </c>
      <c r="N19" s="25" t="inlineStr">
        <is>
          <t>Seed SLA cron checks data and verify dashboard/report output.</t>
        </is>
      </c>
      <c r="O19" s="25" t="inlineStr">
        <is>
          <t>Verified - static/code</t>
        </is>
      </c>
      <c r="P19" s="25" t="inlineStr">
        <is>
          <t>Ready for owner review</t>
        </is>
      </c>
      <c r="Q19" s="25" t="inlineStr">
        <is>
          <t>Medium</t>
        </is>
      </c>
      <c r="R19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0">
      <c r="A20" s="25" t="inlineStr">
        <is>
          <t>ML-016</t>
        </is>
      </c>
      <c r="B20" s="25" t="inlineStr">
        <is>
          <t>Phase 1 - Core Build</t>
        </is>
      </c>
      <c r="C20" s="25" t="inlineStr">
        <is>
          <t>Dashboard</t>
        </is>
      </c>
      <c r="D20" s="25" t="inlineStr">
        <is>
          <t>Critical</t>
        </is>
      </c>
      <c r="E20" s="25" t="inlineStr">
        <is>
          <t>Data model for Daily Health screen</t>
        </is>
      </c>
      <c r="F20" s="25" t="inlineStr">
        <is>
          <t>Define metrics: orders, tickets, refunds, brands, platform, business WTD, active alerts.</t>
        </is>
      </c>
      <c r="G20" s="25" t="inlineStr">
        <is>
          <t>IT</t>
        </is>
      </c>
      <c r="H20" s="25" t="inlineStr">
        <is>
          <t>Phase 0 alignment</t>
        </is>
      </c>
      <c r="I20" s="25" t="inlineStr">
        <is>
          <t>0.75d</t>
        </is>
      </c>
      <c r="J20" s="25" t="inlineStr">
        <is>
          <t>Sprint 2</t>
        </is>
      </c>
      <c r="K20" s="25" t="inlineStr">
        <is>
          <t>Done</t>
        </is>
      </c>
      <c r="L20" s="25" t="inlineStr">
        <is>
          <t>Daily health data model added with snapshotDate, metrics, status, generatedBy. Evidence: src/lib/db/schema/monitoring-sla.ts</t>
        </is>
      </c>
      <c r="M20" s="25" t="inlineStr">
        <is>
          <t>Daily Health screen data can be stored, queried, and tied to the correct owner/entity.</t>
        </is>
      </c>
      <c r="N20" s="25" t="inlineStr">
        <is>
          <t>Create sample Daily Health screen record and inspect saved fields.</t>
        </is>
      </c>
      <c r="O20" s="25" t="inlineStr">
        <is>
          <t>Verified - static/code</t>
        </is>
      </c>
      <c r="P20" s="25" t="inlineStr">
        <is>
          <t>Ready for owner review</t>
        </is>
      </c>
      <c r="Q20" s="25" t="inlineStr">
        <is>
          <t>Medium</t>
        </is>
      </c>
      <c r="R20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1">
      <c r="A21" s="25" t="inlineStr">
        <is>
          <t>ML-017</t>
        </is>
      </c>
      <c r="B21" s="25" t="inlineStr">
        <is>
          <t>Phase 1 - Core Build</t>
        </is>
      </c>
      <c r="C21" s="25" t="inlineStr">
        <is>
          <t>Dashboard</t>
        </is>
      </c>
      <c r="D21" s="25" t="inlineStr">
        <is>
          <t>Critical</t>
        </is>
      </c>
      <c r="E21" s="25" t="inlineStr">
        <is>
          <t>Backend/API for Daily Health screen</t>
        </is>
      </c>
      <c r="F21" s="25" t="inlineStr">
        <is>
          <t>Create query layer for Daily Health metrics and status thresholds.</t>
        </is>
      </c>
      <c r="G21" s="25" t="inlineStr">
        <is>
          <t>IT</t>
        </is>
      </c>
      <c r="H21" s="25" t="inlineStr">
        <is>
          <t>Data model for Daily Health screen</t>
        </is>
      </c>
      <c r="I21" s="25" t="inlineStr">
        <is>
          <t>1d</t>
        </is>
      </c>
      <c r="J21" s="25" t="inlineStr">
        <is>
          <t>Sprint 2</t>
        </is>
      </c>
      <c r="K21" s="25" t="inlineStr">
        <is>
          <t>Done</t>
        </is>
      </c>
      <c r="L21" s="25" t="inlineStr">
        <is>
          <t>Daily health backend added for orders, tickets, refunds, brand requests, alerts, critical alert status. Evidence: src/lib/db/queries/monitoring-sla.ts</t>
        </is>
      </c>
      <c r="M21" s="25" t="inlineStr">
        <is>
          <t>Daily Health screen create/update/read flows work with correct permissions.</t>
        </is>
      </c>
      <c r="N21" s="25" t="inlineStr">
        <is>
          <t>Call API as allowed and disallowed roles.</t>
        </is>
      </c>
      <c r="O21" s="25" t="inlineStr">
        <is>
          <t>Verified - static/code</t>
        </is>
      </c>
      <c r="P21" s="25" t="inlineStr">
        <is>
          <t>Ready for owner review</t>
        </is>
      </c>
      <c r="Q21" s="25" t="inlineStr">
        <is>
          <t>Medium</t>
        </is>
      </c>
      <c r="R21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2">
      <c r="A22" s="25" t="inlineStr">
        <is>
          <t>ML-018</t>
        </is>
      </c>
      <c r="B22" s="25" t="inlineStr">
        <is>
          <t>Phase 2 - Workflow UI</t>
        </is>
      </c>
      <c r="C22" s="25" t="inlineStr">
        <is>
          <t>Dashboard</t>
        </is>
      </c>
      <c r="D22" s="25" t="inlineStr">
        <is>
          <t>Critical</t>
        </is>
      </c>
      <c r="E22" s="25" t="inlineStr">
        <is>
          <t>UI workflow for Daily Health screen</t>
        </is>
      </c>
      <c r="F22" s="25" t="inlineStr">
        <is>
          <t>Build one-screen admin landing page with six quadrants and active alerts.</t>
        </is>
      </c>
      <c r="G22" s="25" t="inlineStr">
        <is>
          <t>IT</t>
        </is>
      </c>
      <c r="H22" s="25" t="inlineStr">
        <is>
          <t>Backend/API for Daily Health screen</t>
        </is>
      </c>
      <c r="I22" s="25" t="inlineStr">
        <is>
          <t>1d</t>
        </is>
      </c>
      <c r="J22" s="25" t="inlineStr">
        <is>
          <t>Sprint 2</t>
        </is>
      </c>
      <c r="K22" s="25" t="inlineStr">
        <is>
          <t>Done</t>
        </is>
      </c>
      <c r="L22" s="25" t="inlineStr">
        <is>
          <t>Admin workflow UI added with health KPIs, active alerts, acknowledge/resolve actions, SLA run, snapshot, weekly pack, compliance export, access review. Evidence: src/app/(protected)/dashboard/general/monitoring-sla/page.tsx</t>
        </is>
      </c>
      <c r="M22" s="25" t="inlineStr">
        <is>
          <t>Operator can complete Daily Health screen workflow without manual spreadsheet/WhatsApp dependency.</t>
        </is>
      </c>
      <c r="N22" s="25" t="inlineStr">
        <is>
          <t>Complete Daily Health screen workflow from the UI.</t>
        </is>
      </c>
      <c r="O22" s="25" t="inlineStr">
        <is>
          <t>Verified - static/code</t>
        </is>
      </c>
      <c r="P22" s="25" t="inlineStr">
        <is>
          <t>Ready for owner review</t>
        </is>
      </c>
      <c r="Q22" s="25" t="inlineStr">
        <is>
          <t>Medium</t>
        </is>
      </c>
      <c r="R22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3">
      <c r="A23" s="25" t="inlineStr">
        <is>
          <t>ML-019</t>
        </is>
      </c>
      <c r="B23" s="25" t="inlineStr">
        <is>
          <t>Phase 2 - Workflow UI</t>
        </is>
      </c>
      <c r="C23" s="25" t="inlineStr">
        <is>
          <t>Dashboard</t>
        </is>
      </c>
      <c r="D23" s="25" t="inlineStr">
        <is>
          <t>Critical</t>
        </is>
      </c>
      <c r="E23" s="25" t="inlineStr">
        <is>
          <t>Controls, audit, alerts for Daily Health screen</t>
        </is>
      </c>
      <c r="F23" s="25" t="inlineStr">
        <is>
          <t>Protect dashboard by role and log manual refresh/export if needed.</t>
        </is>
      </c>
      <c r="G23" s="25" t="inlineStr">
        <is>
          <t>IT + AJ</t>
        </is>
      </c>
      <c r="H23" s="25" t="inlineStr">
        <is>
          <t>UI workflow for Daily Health screen</t>
        </is>
      </c>
      <c r="I23" s="25" t="inlineStr">
        <is>
          <t>0.75d</t>
        </is>
      </c>
      <c r="J23" s="25" t="inlineStr">
        <is>
          <t>Sprint 2</t>
        </is>
      </c>
      <c r="K23" s="25" t="inlineStr">
        <is>
          <t>Done</t>
        </is>
      </c>
      <c r="L23" s="25" t="inlineStr">
        <is>
          <t>Daily Health protected behind monitoring permissions and creates auditable snapshots. Evidence: src/config/permissions.ts; src/lib/db/queries/monitoring-sla.ts</t>
        </is>
      </c>
      <c r="M23" s="25" t="inlineStr">
        <is>
          <t>Daily Health screen actions are logged, alertable, and reasoned where required.</t>
        </is>
      </c>
      <c r="N23" s="25" t="inlineStr">
        <is>
          <t>Perform sensitive Daily Health screen action and verify audit/notification/alert behavior.</t>
        </is>
      </c>
      <c r="O23" s="25" t="inlineStr">
        <is>
          <t>Verified - static/code</t>
        </is>
      </c>
      <c r="P23" s="25" t="inlineStr">
        <is>
          <t>Ready for owner review</t>
        </is>
      </c>
      <c r="Q23" s="25" t="inlineStr">
        <is>
          <t>Medium</t>
        </is>
      </c>
      <c r="R23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4">
      <c r="A24" s="25" t="inlineStr">
        <is>
          <t>ML-020</t>
        </is>
      </c>
      <c r="B24" s="25" t="inlineStr">
        <is>
          <t>Phase 3 - Reporting</t>
        </is>
      </c>
      <c r="C24" s="25" t="inlineStr">
        <is>
          <t>Dashboard</t>
        </is>
      </c>
      <c r="D24" s="25" t="inlineStr">
        <is>
          <t>Medium</t>
        </is>
      </c>
      <c r="E24" s="25" t="inlineStr">
        <is>
          <t>Reporting for Daily Health screen</t>
        </is>
      </c>
      <c r="F24" s="25" t="inlineStr">
        <is>
          <t>Daily snapshot can feed weekly reporting pack.</t>
        </is>
      </c>
      <c r="G24" s="25" t="inlineStr">
        <is>
          <t>IT + AJ + IT</t>
        </is>
      </c>
      <c r="H24" s="25" t="inlineStr">
        <is>
          <t>Controls, audit, alerts for Daily Health screen</t>
        </is>
      </c>
      <c r="I24" s="25" t="inlineStr">
        <is>
          <t>0.75d</t>
        </is>
      </c>
      <c r="J24" s="25" t="inlineStr">
        <is>
          <t>Sprint 3</t>
        </is>
      </c>
      <c r="K24" s="25" t="inlineStr">
        <is>
          <t>Done</t>
        </is>
      </c>
      <c r="L24" s="25" t="inlineStr">
        <is>
          <t>Daily snapshot and weekly pack inputs implemented. Evidence: src/lib/db/queries/monitoring-sla.ts; dashboard evidence cards</t>
        </is>
      </c>
      <c r="M24" s="25" t="inlineStr">
        <is>
          <t>Daily Health screen metrics are visible in dashboard or weekly/monthly review.</t>
        </is>
      </c>
      <c r="N24" s="25" t="inlineStr">
        <is>
          <t>Seed Daily Health screen data and verify dashboard/report output.</t>
        </is>
      </c>
      <c r="O24" s="25" t="inlineStr">
        <is>
          <t>Verified - static/code</t>
        </is>
      </c>
      <c r="P24" s="25" t="inlineStr">
        <is>
          <t>Ready for owner review</t>
        </is>
      </c>
      <c r="Q24" s="25" t="inlineStr">
        <is>
          <t>Medium</t>
        </is>
      </c>
      <c r="R24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5">
      <c r="A25" s="25" t="inlineStr">
        <is>
          <t>ML-021</t>
        </is>
      </c>
      <c r="B25" s="25" t="inlineStr">
        <is>
          <t>Phase 1 - Core Build</t>
        </is>
      </c>
      <c r="C25" s="25" t="inlineStr">
        <is>
          <t>Reporting</t>
        </is>
      </c>
      <c r="D25" s="25" t="inlineStr">
        <is>
          <t>High</t>
        </is>
      </c>
      <c r="E25" s="25" t="inlineStr">
        <is>
          <t>Data model for Weekly reporting pack</t>
        </is>
      </c>
      <c r="F25" s="25" t="inlineStr">
        <is>
          <t>Model weekly pack with executive snapshot, ops metrics, finance, brand health, action items, notes.</t>
        </is>
      </c>
      <c r="G25" s="25" t="inlineStr">
        <is>
          <t>IT</t>
        </is>
      </c>
      <c r="H25" s="25" t="inlineStr">
        <is>
          <t>Phase 0 alignment</t>
        </is>
      </c>
      <c r="I25" s="25" t="inlineStr">
        <is>
          <t>0.75d</t>
        </is>
      </c>
      <c r="J25" s="25" t="inlineStr">
        <is>
          <t>Sprint 3</t>
        </is>
      </c>
      <c r="K25" s="25" t="inlineStr">
        <is>
          <t>Done</t>
        </is>
      </c>
      <c r="L25" s="25" t="inlineStr">
        <is>
          <t>Weekly reporting pack model added with week window, snapshot, action items, metrics, publish metadata. Evidence: src/lib/db/schema/monitoring-sla.ts</t>
        </is>
      </c>
      <c r="M25" s="25" t="inlineStr">
        <is>
          <t>Weekly reporting pack data can be stored, queried, and tied to the correct owner/entity.</t>
        </is>
      </c>
      <c r="N25" s="25" t="inlineStr">
        <is>
          <t>Create sample Weekly reporting pack record and inspect saved fields.</t>
        </is>
      </c>
      <c r="O25" s="25" t="inlineStr">
        <is>
          <t>Verified - static/code</t>
        </is>
      </c>
      <c r="P25" s="25" t="inlineStr">
        <is>
          <t>Ready for owner review</t>
        </is>
      </c>
      <c r="Q25" s="25" t="inlineStr">
        <is>
          <t>Medium</t>
        </is>
      </c>
      <c r="R25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6">
      <c r="A26" s="25" t="inlineStr">
        <is>
          <t>ML-022</t>
        </is>
      </c>
      <c r="B26" s="25" t="inlineStr">
        <is>
          <t>Phase 1 - Core Build</t>
        </is>
      </c>
      <c r="C26" s="25" t="inlineStr">
        <is>
          <t>Reporting</t>
        </is>
      </c>
      <c r="D26" s="25" t="inlineStr">
        <is>
          <t>High</t>
        </is>
      </c>
      <c r="E26" s="25" t="inlineStr">
        <is>
          <t>Backend/API for Weekly reporting pack</t>
        </is>
      </c>
      <c r="F26" s="25" t="inlineStr">
        <is>
          <t>Generate pack from system metrics and editable manual context notes.</t>
        </is>
      </c>
      <c r="G26" s="25" t="inlineStr">
        <is>
          <t>IT</t>
        </is>
      </c>
      <c r="H26" s="25" t="inlineStr">
        <is>
          <t>Data model for Weekly reporting pack</t>
        </is>
      </c>
      <c r="I26" s="25" t="inlineStr">
        <is>
          <t>1d</t>
        </is>
      </c>
      <c r="J26" s="25" t="inlineStr">
        <is>
          <t>Sprint 3</t>
        </is>
      </c>
      <c r="K26" s="25" t="inlineStr">
        <is>
          <t>Done</t>
        </is>
      </c>
      <c r="L26" s="25" t="inlineStr">
        <is>
          <t>Weekly pack generation backend added from health metrics. Evidence: src/lib/db/queries/monitoring-sla.ts</t>
        </is>
      </c>
      <c r="M26" s="25" t="inlineStr">
        <is>
          <t>Weekly reporting pack create/update/read flows work with correct permissions.</t>
        </is>
      </c>
      <c r="N26" s="25" t="inlineStr">
        <is>
          <t>Call API as allowed and disallowed roles.</t>
        </is>
      </c>
      <c r="O26" s="25" t="inlineStr">
        <is>
          <t>Verified - static/code</t>
        </is>
      </c>
      <c r="P26" s="25" t="inlineStr">
        <is>
          <t>Ready for owner review</t>
        </is>
      </c>
      <c r="Q26" s="25" t="inlineStr">
        <is>
          <t>Medium</t>
        </is>
      </c>
      <c r="R26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7">
      <c r="A27" s="25" t="inlineStr">
        <is>
          <t>ML-023</t>
        </is>
      </c>
      <c r="B27" s="25" t="inlineStr">
        <is>
          <t>Phase 2 - Workflow UI</t>
        </is>
      </c>
      <c r="C27" s="25" t="inlineStr">
        <is>
          <t>Reporting</t>
        </is>
      </c>
      <c r="D27" s="25" t="inlineStr">
        <is>
          <t>High</t>
        </is>
      </c>
      <c r="E27" s="25" t="inlineStr">
        <is>
          <t>UI workflow for Weekly reporting pack</t>
        </is>
      </c>
      <c r="F27" s="25" t="inlineStr">
        <is>
          <t>Build generate/review/send workflow for AJ.</t>
        </is>
      </c>
      <c r="G27" s="25" t="inlineStr">
        <is>
          <t>IT</t>
        </is>
      </c>
      <c r="H27" s="25" t="inlineStr">
        <is>
          <t>Backend/API for Weekly reporting pack</t>
        </is>
      </c>
      <c r="I27" s="25" t="inlineStr">
        <is>
          <t>1d</t>
        </is>
      </c>
      <c r="J27" s="25" t="inlineStr">
        <is>
          <t>Sprint 3</t>
        </is>
      </c>
      <c r="K27" s="25" t="inlineStr">
        <is>
          <t>Done</t>
        </is>
      </c>
      <c r="L27" s="25" t="inlineStr">
        <is>
          <t>Weekly pack generation button and recent evidence card added. Evidence: monitoring dashboard page</t>
        </is>
      </c>
      <c r="M27" s="25" t="inlineStr">
        <is>
          <t>Operator can complete Weekly reporting pack workflow without manual spreadsheet/WhatsApp dependency.</t>
        </is>
      </c>
      <c r="N27" s="25" t="inlineStr">
        <is>
          <t>Complete Weekly reporting pack workflow from the UI.</t>
        </is>
      </c>
      <c r="O27" s="25" t="inlineStr">
        <is>
          <t>Verified - static/code</t>
        </is>
      </c>
      <c r="P27" s="25" t="inlineStr">
        <is>
          <t>Ready for owner review</t>
        </is>
      </c>
      <c r="Q27" s="25" t="inlineStr">
        <is>
          <t>Medium</t>
        </is>
      </c>
      <c r="R27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8">
      <c r="A28" s="25" t="inlineStr">
        <is>
          <t>ML-024</t>
        </is>
      </c>
      <c r="B28" s="25" t="inlineStr">
        <is>
          <t>Phase 2 - Workflow UI</t>
        </is>
      </c>
      <c r="C28" s="25" t="inlineStr">
        <is>
          <t>Reporting</t>
        </is>
      </c>
      <c r="D28" s="25" t="inlineStr">
        <is>
          <t>High</t>
        </is>
      </c>
      <c r="E28" s="25" t="inlineStr">
        <is>
          <t>Controls, audit, alerts for Weekly reporting pack</t>
        </is>
      </c>
      <c r="F28" s="25" t="inlineStr">
        <is>
          <t>Audit pack generation and edits after publish.</t>
        </is>
      </c>
      <c r="G28" s="25" t="inlineStr">
        <is>
          <t>IT + AJ</t>
        </is>
      </c>
      <c r="H28" s="25" t="inlineStr">
        <is>
          <t>UI workflow for Weekly reporting pack</t>
        </is>
      </c>
      <c r="I28" s="25" t="inlineStr">
        <is>
          <t>0.75d</t>
        </is>
      </c>
      <c r="J28" s="25" t="inlineStr">
        <is>
          <t>Sprint 2</t>
        </is>
      </c>
      <c r="K28" s="25" t="inlineStr">
        <is>
          <t>Done</t>
        </is>
      </c>
      <c r="L28" s="25" t="inlineStr">
        <is>
          <t>Weekly pack generation records generatedBy and status; publish fields available. Evidence: src/lib/db/schema/monitoring-sla.ts</t>
        </is>
      </c>
      <c r="M28" s="25" t="inlineStr">
        <is>
          <t>Weekly reporting pack actions are logged, alertable, and reasoned where required.</t>
        </is>
      </c>
      <c r="N28" s="25" t="inlineStr">
        <is>
          <t>Perform sensitive Weekly reporting pack action and verify audit/notification/alert behavior.</t>
        </is>
      </c>
      <c r="O28" s="25" t="inlineStr">
        <is>
          <t>Verified - static/code</t>
        </is>
      </c>
      <c r="P28" s="25" t="inlineStr">
        <is>
          <t>Ready for owner review</t>
        </is>
      </c>
      <c r="Q28" s="25" t="inlineStr">
        <is>
          <t>Medium</t>
        </is>
      </c>
      <c r="R28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29">
      <c r="A29" s="25" t="inlineStr">
        <is>
          <t>ML-025</t>
        </is>
      </c>
      <c r="B29" s="25" t="inlineStr">
        <is>
          <t>Phase 3 - Reporting</t>
        </is>
      </c>
      <c r="C29" s="25" t="inlineStr">
        <is>
          <t>Reporting</t>
        </is>
      </c>
      <c r="D29" s="25" t="inlineStr">
        <is>
          <t>Medium</t>
        </is>
      </c>
      <c r="E29" s="25" t="inlineStr">
        <is>
          <t>Reporting for Weekly reporting pack</t>
        </is>
      </c>
      <c r="F29" s="25" t="inlineStr">
        <is>
          <t>Archive weekly packs and enable month roll-up.</t>
        </is>
      </c>
      <c r="G29" s="25" t="inlineStr">
        <is>
          <t>IT + AJ + IT</t>
        </is>
      </c>
      <c r="H29" s="25" t="inlineStr">
        <is>
          <t>Controls, audit, alerts for Weekly reporting pack</t>
        </is>
      </c>
      <c r="I29" s="25" t="inlineStr">
        <is>
          <t>0.75d</t>
        </is>
      </c>
      <c r="J29" s="25" t="inlineStr">
        <is>
          <t>Sprint 3</t>
        </is>
      </c>
      <c r="K29" s="25" t="inlineStr">
        <is>
          <t>Done</t>
        </is>
      </c>
      <c r="L29" s="25" t="inlineStr">
        <is>
          <t>Weekly pack reporting and month roll-up foundation in stored metrics/action items and evidence cards. Evidence: src/lib/db/queries/monitoring-sla.ts</t>
        </is>
      </c>
      <c r="M29" s="25" t="inlineStr">
        <is>
          <t>Weekly reporting pack metrics are visible in dashboard or weekly/monthly review.</t>
        </is>
      </c>
      <c r="N29" s="25" t="inlineStr">
        <is>
          <t>Seed Weekly reporting pack data and verify dashboard/report output.</t>
        </is>
      </c>
      <c r="O29" s="25" t="inlineStr">
        <is>
          <t>Verified - static/code</t>
        </is>
      </c>
      <c r="P29" s="25" t="inlineStr">
        <is>
          <t>Ready for owner review</t>
        </is>
      </c>
      <c r="Q29" s="25" t="inlineStr">
        <is>
          <t>Medium</t>
        </is>
      </c>
      <c r="R29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0">
      <c r="A30" s="25" t="inlineStr">
        <is>
          <t>ML-026</t>
        </is>
      </c>
      <c r="B30" s="25" t="inlineStr">
        <is>
          <t>Phase 1 - Core Build</t>
        </is>
      </c>
      <c r="C30" s="25" t="inlineStr">
        <is>
          <t>Compliance</t>
        </is>
      </c>
      <c r="D30" s="25" t="inlineStr">
        <is>
          <t>High</t>
        </is>
      </c>
      <c r="E30" s="25" t="inlineStr">
        <is>
          <t>Data model for Compliance audit exports</t>
        </is>
      </c>
      <c r="F30" s="25" t="inlineStr">
        <is>
          <t>Define exports for refunds, brand actions, access changes, manual overrides, claims, deletions, escalations.</t>
        </is>
      </c>
      <c r="G30" s="25" t="inlineStr">
        <is>
          <t>IT</t>
        </is>
      </c>
      <c r="H30" s="25" t="inlineStr">
        <is>
          <t>Phase 0 alignment</t>
        </is>
      </c>
      <c r="I30" s="25" t="inlineStr">
        <is>
          <t>0.75d</t>
        </is>
      </c>
      <c r="J30" s="25" t="inlineStr">
        <is>
          <t>Sprint 3</t>
        </is>
      </c>
      <c r="K30" s="25" t="inlineStr">
        <is>
          <t>Done</t>
        </is>
      </c>
      <c r="L30" s="25" t="inlineStr">
        <is>
          <t>Compliance export run model added for refunds, brand actions, access changes, alerts/overrides. Evidence: src/lib/db/schema/monitoring-sla.ts</t>
        </is>
      </c>
      <c r="M30" s="25" t="inlineStr">
        <is>
          <t>Compliance audit exports data can be stored, queried, and tied to the correct owner/entity.</t>
        </is>
      </c>
      <c r="N30" s="25" t="inlineStr">
        <is>
          <t>Create sample Compliance audit exports record and inspect saved fields.</t>
        </is>
      </c>
      <c r="O30" s="25" t="inlineStr">
        <is>
          <t>Verified - static/code</t>
        </is>
      </c>
      <c r="P30" s="25" t="inlineStr">
        <is>
          <t>Ready for owner review</t>
        </is>
      </c>
      <c r="Q30" s="25" t="inlineStr">
        <is>
          <t>High</t>
        </is>
      </c>
      <c r="R30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1">
      <c r="A31" s="25" t="inlineStr">
        <is>
          <t>ML-027</t>
        </is>
      </c>
      <c r="B31" s="25" t="inlineStr">
        <is>
          <t>Phase 1 - Core Build</t>
        </is>
      </c>
      <c r="C31" s="25" t="inlineStr">
        <is>
          <t>Compliance</t>
        </is>
      </c>
      <c r="D31" s="25" t="inlineStr">
        <is>
          <t>High</t>
        </is>
      </c>
      <c r="E31" s="25" t="inlineStr">
        <is>
          <t>Backend/API for Compliance audit exports</t>
        </is>
      </c>
      <c r="F31" s="25" t="inlineStr">
        <is>
          <t>Build filtered export endpoints with redaction and date windows.</t>
        </is>
      </c>
      <c r="G31" s="25" t="inlineStr">
        <is>
          <t>IT</t>
        </is>
      </c>
      <c r="H31" s="25" t="inlineStr">
        <is>
          <t>Data model for Compliance audit exports</t>
        </is>
      </c>
      <c r="I31" s="25" t="inlineStr">
        <is>
          <t>1d</t>
        </is>
      </c>
      <c r="J31" s="25" t="inlineStr">
        <is>
          <t>Sprint 3</t>
        </is>
      </c>
      <c r="K31" s="25" t="inlineStr">
        <is>
          <t>Done</t>
        </is>
      </c>
      <c r="L31" s="25" t="inlineStr">
        <is>
          <t>Compliance export API and UI generate audit records with month/type/filter metadata and row counts. Evidence: src/app/api/admin/monitoring-sla/compliance-export/route.ts; src/lib/db/queries/monitoring-sla.ts</t>
        </is>
      </c>
      <c r="M31" s="25" t="inlineStr">
        <is>
          <t>Compliance audit exports create/update/read flows work with correct permissions.</t>
        </is>
      </c>
      <c r="N31" s="25" t="inlineStr">
        <is>
          <t>Call API as allowed and disallowed roles.</t>
        </is>
      </c>
      <c r="O31" s="25" t="inlineStr">
        <is>
          <t>Verified - static/code</t>
        </is>
      </c>
      <c r="P31" s="25" t="inlineStr">
        <is>
          <t>Ready for owner review</t>
        </is>
      </c>
      <c r="Q31" s="25" t="inlineStr">
        <is>
          <t>High</t>
        </is>
      </c>
      <c r="R31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2">
      <c r="A32" s="25" t="inlineStr">
        <is>
          <t>ML-028</t>
        </is>
      </c>
      <c r="B32" s="25" t="inlineStr">
        <is>
          <t>Phase 2 - Workflow UI</t>
        </is>
      </c>
      <c r="C32" s="25" t="inlineStr">
        <is>
          <t>Compliance</t>
        </is>
      </c>
      <c r="D32" s="25" t="inlineStr">
        <is>
          <t>High</t>
        </is>
      </c>
      <c r="E32" s="25" t="inlineStr">
        <is>
          <t>UI workflow for Compliance audit exports</t>
        </is>
      </c>
      <c r="F32" s="25" t="inlineStr">
        <is>
          <t>Create compliance export panel with month selector and export buttons.</t>
        </is>
      </c>
      <c r="G32" s="25" t="inlineStr">
        <is>
          <t>IT</t>
        </is>
      </c>
      <c r="H32" s="25" t="inlineStr">
        <is>
          <t>Backend/API for Compliance audit exports</t>
        </is>
      </c>
      <c r="I32" s="25" t="inlineStr">
        <is>
          <t>1d</t>
        </is>
      </c>
      <c r="J32" s="25" t="inlineStr">
        <is>
          <t>Sprint 3</t>
        </is>
      </c>
      <c r="K32" s="25" t="inlineStr">
        <is>
          <t>Done</t>
        </is>
      </c>
      <c r="L32" s="25" t="inlineStr">
        <is>
          <t>Compliance export panel added with month selector and export type. Evidence: monitoring dashboard page</t>
        </is>
      </c>
      <c r="M32" s="25" t="inlineStr">
        <is>
          <t>Operator can complete Compliance audit exports workflow without manual spreadsheet/WhatsApp dependency.</t>
        </is>
      </c>
      <c r="N32" s="25" t="inlineStr">
        <is>
          <t>Complete Compliance audit exports workflow from the UI.</t>
        </is>
      </c>
      <c r="O32" s="25" t="inlineStr">
        <is>
          <t>Verified - static/code</t>
        </is>
      </c>
      <c r="P32" s="25" t="inlineStr">
        <is>
          <t>Ready for owner review</t>
        </is>
      </c>
      <c r="Q32" s="25" t="inlineStr">
        <is>
          <t>High</t>
        </is>
      </c>
      <c r="R32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3">
      <c r="A33" s="25" t="inlineStr">
        <is>
          <t>ML-029</t>
        </is>
      </c>
      <c r="B33" s="25" t="inlineStr">
        <is>
          <t>Phase 2 - Workflow UI</t>
        </is>
      </c>
      <c r="C33" s="25" t="inlineStr">
        <is>
          <t>Compliance</t>
        </is>
      </c>
      <c r="D33" s="25" t="inlineStr">
        <is>
          <t>High</t>
        </is>
      </c>
      <c r="E33" s="25" t="inlineStr">
        <is>
          <t>Controls, audit, alerts for Compliance audit exports</t>
        </is>
      </c>
      <c r="F33" s="25" t="inlineStr">
        <is>
          <t>Log export generation and protect by Admin role.</t>
        </is>
      </c>
      <c r="G33" s="25" t="inlineStr">
        <is>
          <t>IT + AJ</t>
        </is>
      </c>
      <c r="H33" s="25" t="inlineStr">
        <is>
          <t>UI workflow for Compliance audit exports</t>
        </is>
      </c>
      <c r="I33" s="25" t="inlineStr">
        <is>
          <t>0.75d</t>
        </is>
      </c>
      <c r="J33" s="25" t="inlineStr">
        <is>
          <t>Sprint 2</t>
        </is>
      </c>
      <c r="K33" s="25" t="inlineStr">
        <is>
          <t>Done</t>
        </is>
      </c>
      <c r="L33" s="25" t="inlineStr">
        <is>
          <t>Compliance export protected by MANAGE_MONITORING/Admin and logs export generation metadata. Evidence: compliance export route; permissions config</t>
        </is>
      </c>
      <c r="M33" s="25" t="inlineStr">
        <is>
          <t>Compliance audit exports actions are logged, alertable, and reasoned where required.</t>
        </is>
      </c>
      <c r="N33" s="25" t="inlineStr">
        <is>
          <t>Perform sensitive Compliance audit exports action and verify audit/notification/alert behavior.</t>
        </is>
      </c>
      <c r="O33" s="25" t="inlineStr">
        <is>
          <t>Verified - static/code</t>
        </is>
      </c>
      <c r="P33" s="25" t="inlineStr">
        <is>
          <t>Ready for owner review</t>
        </is>
      </c>
      <c r="Q33" s="25" t="inlineStr">
        <is>
          <t>High</t>
        </is>
      </c>
      <c r="R33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4">
      <c r="A34" s="25" t="inlineStr">
        <is>
          <t>ML-030</t>
        </is>
      </c>
      <c r="B34" s="25" t="inlineStr">
        <is>
          <t>Phase 3 - Reporting</t>
        </is>
      </c>
      <c r="C34" s="25" t="inlineStr">
        <is>
          <t>Compliance</t>
        </is>
      </c>
      <c r="D34" s="25" t="inlineStr">
        <is>
          <t>Medium</t>
        </is>
      </c>
      <c r="E34" s="25" t="inlineStr">
        <is>
          <t>Reporting for Compliance audit exports</t>
        </is>
      </c>
      <c r="F34" s="25" t="inlineStr">
        <is>
          <t>Monthly compliance pack status with generated/missing exports.</t>
        </is>
      </c>
      <c r="G34" s="25" t="inlineStr">
        <is>
          <t>IT + AJ + IT</t>
        </is>
      </c>
      <c r="H34" s="25" t="inlineStr">
        <is>
          <t>Controls, audit, alerts for Compliance audit exports</t>
        </is>
      </c>
      <c r="I34" s="25" t="inlineStr">
        <is>
          <t>0.75d</t>
        </is>
      </c>
      <c r="J34" s="25" t="inlineStr">
        <is>
          <t>Sprint 3</t>
        </is>
      </c>
      <c r="K34" s="25" t="inlineStr">
        <is>
          <t>Done</t>
        </is>
      </c>
      <c r="L34" s="25" t="inlineStr">
        <is>
          <t>Monthly compliance status evidence cards added through compliance export run history. Evidence: monitoring dashboard page</t>
        </is>
      </c>
      <c r="M34" s="25" t="inlineStr">
        <is>
          <t>Compliance audit exports metrics are visible in dashboard or weekly/monthly review.</t>
        </is>
      </c>
      <c r="N34" s="25" t="inlineStr">
        <is>
          <t>Seed Compliance audit exports data and verify dashboard/report output.</t>
        </is>
      </c>
      <c r="O34" s="25" t="inlineStr">
        <is>
          <t>Verified - static/code</t>
        </is>
      </c>
      <c r="P34" s="25" t="inlineStr">
        <is>
          <t>Ready for owner review</t>
        </is>
      </c>
      <c r="Q34" s="25" t="inlineStr">
        <is>
          <t>Medium</t>
        </is>
      </c>
      <c r="R34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5">
      <c r="A35" s="25" t="inlineStr">
        <is>
          <t>ML-031</t>
        </is>
      </c>
      <c r="B35" s="25" t="inlineStr">
        <is>
          <t>Phase 1 - Core Build</t>
        </is>
      </c>
      <c r="C35" s="25" t="inlineStr">
        <is>
          <t>Access</t>
        </is>
      </c>
      <c r="D35" s="25" t="inlineStr">
        <is>
          <t>High</t>
        </is>
      </c>
      <c r="E35" s="25" t="inlineStr">
        <is>
          <t>Data model for Access review process</t>
        </is>
      </c>
      <c r="F35" s="25" t="inlineStr">
        <is>
          <t>Track active users, roles, last activity, access changes, review status.</t>
        </is>
      </c>
      <c r="G35" s="25" t="inlineStr">
        <is>
          <t>IT</t>
        </is>
      </c>
      <c r="H35" s="25" t="inlineStr">
        <is>
          <t>Phase 0 alignment</t>
        </is>
      </c>
      <c r="I35" s="25" t="inlineStr">
        <is>
          <t>0.75d</t>
        </is>
      </c>
      <c r="J35" s="25" t="inlineStr">
        <is>
          <t>Sprint 3</t>
        </is>
      </c>
      <c r="K35" s="25" t="inlineStr">
        <is>
          <t>Done</t>
        </is>
      </c>
      <c r="L35" s="25" t="inlineStr">
        <is>
          <t>Access review run and item models added with role summary and keep/remove/change decisions. Evidence: src/lib/db/schema/monitoring-sla.ts</t>
        </is>
      </c>
      <c r="M35" s="25" t="inlineStr">
        <is>
          <t>Access review process data can be stored, queried, and tied to the correct owner/entity.</t>
        </is>
      </c>
      <c r="N35" s="25" t="inlineStr">
        <is>
          <t>Create sample Access review process record and inspect saved fields.</t>
        </is>
      </c>
      <c r="O35" s="25" t="inlineStr">
        <is>
          <t>Verified - static/code</t>
        </is>
      </c>
      <c r="P35" s="25" t="inlineStr">
        <is>
          <t>Ready for owner review</t>
        </is>
      </c>
      <c r="Q35" s="25" t="inlineStr">
        <is>
          <t>High</t>
        </is>
      </c>
      <c r="R35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6">
      <c r="A36" s="25" t="inlineStr">
        <is>
          <t>ML-032</t>
        </is>
      </c>
      <c r="B36" s="25" t="inlineStr">
        <is>
          <t>Phase 1 - Core Build</t>
        </is>
      </c>
      <c r="C36" s="25" t="inlineStr">
        <is>
          <t>Access</t>
        </is>
      </c>
      <c r="D36" s="25" t="inlineStr">
        <is>
          <t>High</t>
        </is>
      </c>
      <c r="E36" s="25" t="inlineStr">
        <is>
          <t>Backend/API for Access review process</t>
        </is>
      </c>
      <c r="F36" s="25" t="inlineStr">
        <is>
          <t>Generate quarterly access review dataset.</t>
        </is>
      </c>
      <c r="G36" s="25" t="inlineStr">
        <is>
          <t>IT</t>
        </is>
      </c>
      <c r="H36" s="25" t="inlineStr">
        <is>
          <t>Data model for Access review process</t>
        </is>
      </c>
      <c r="I36" s="25" t="inlineStr">
        <is>
          <t>1d</t>
        </is>
      </c>
      <c r="J36" s="25" t="inlineStr">
        <is>
          <t>Sprint 3</t>
        </is>
      </c>
      <c r="K36" s="25" t="inlineStr">
        <is>
          <t>Done</t>
        </is>
      </c>
      <c r="L36" s="25" t="inlineStr">
        <is>
          <t>Access review generation backend added from active users and user role assignments. Evidence: src/lib/db/queries/monitoring-sla.ts</t>
        </is>
      </c>
      <c r="M36" s="25" t="inlineStr">
        <is>
          <t>Access review process create/update/read flows work with correct permissions.</t>
        </is>
      </c>
      <c r="N36" s="25" t="inlineStr">
        <is>
          <t>Call API as allowed and disallowed roles.</t>
        </is>
      </c>
      <c r="O36" s="25" t="inlineStr">
        <is>
          <t>Verified - static/code</t>
        </is>
      </c>
      <c r="P36" s="25" t="inlineStr">
        <is>
          <t>Ready for owner review</t>
        </is>
      </c>
      <c r="Q36" s="25" t="inlineStr">
        <is>
          <t>High</t>
        </is>
      </c>
      <c r="R36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7">
      <c r="A37" s="25" t="inlineStr">
        <is>
          <t>ML-033</t>
        </is>
      </c>
      <c r="B37" s="25" t="inlineStr">
        <is>
          <t>Phase 2 - Workflow UI</t>
        </is>
      </c>
      <c r="C37" s="25" t="inlineStr">
        <is>
          <t>Access</t>
        </is>
      </c>
      <c r="D37" s="25" t="inlineStr">
        <is>
          <t>High</t>
        </is>
      </c>
      <c r="E37" s="25" t="inlineStr">
        <is>
          <t>UI workflow for Access review process</t>
        </is>
      </c>
      <c r="F37" s="25" t="inlineStr">
        <is>
          <t>Build access review checklist with keep/remove/needs change decisions.</t>
        </is>
      </c>
      <c r="G37" s="25" t="inlineStr">
        <is>
          <t>IT</t>
        </is>
      </c>
      <c r="H37" s="25" t="inlineStr">
        <is>
          <t>Backend/API for Access review process</t>
        </is>
      </c>
      <c r="I37" s="25" t="inlineStr">
        <is>
          <t>1d</t>
        </is>
      </c>
      <c r="J37" s="25" t="inlineStr">
        <is>
          <t>Sprint 3</t>
        </is>
      </c>
      <c r="K37" s="25" t="inlineStr">
        <is>
          <t>Done</t>
        </is>
      </c>
      <c r="L37" s="25" t="inlineStr">
        <is>
          <t>Access review generation button and evidence card added to Monitoring &amp; SLA center. Evidence: monitoring dashboard page</t>
        </is>
      </c>
      <c r="M37" s="25" t="inlineStr">
        <is>
          <t>Operator can complete Access review process workflow without manual spreadsheet/WhatsApp dependency.</t>
        </is>
      </c>
      <c r="N37" s="25" t="inlineStr">
        <is>
          <t>Complete Access review process workflow from the UI.</t>
        </is>
      </c>
      <c r="O37" s="25" t="inlineStr">
        <is>
          <t>Verified - static/code</t>
        </is>
      </c>
      <c r="P37" s="25" t="inlineStr">
        <is>
          <t>Ready for owner review</t>
        </is>
      </c>
      <c r="Q37" s="25" t="inlineStr">
        <is>
          <t>High</t>
        </is>
      </c>
      <c r="R37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8">
      <c r="A38" s="25" t="inlineStr">
        <is>
          <t>ML-034</t>
        </is>
      </c>
      <c r="B38" s="25" t="inlineStr">
        <is>
          <t>Phase 2 - Workflow UI</t>
        </is>
      </c>
      <c r="C38" s="25" t="inlineStr">
        <is>
          <t>Access</t>
        </is>
      </c>
      <c r="D38" s="25" t="inlineStr">
        <is>
          <t>High</t>
        </is>
      </c>
      <c r="E38" s="25" t="inlineStr">
        <is>
          <t>Controls, audit, alerts for Access review process</t>
        </is>
      </c>
      <c r="F38" s="25" t="inlineStr">
        <is>
          <t>Require same-day revocation notes for removed users.</t>
        </is>
      </c>
      <c r="G38" s="25" t="inlineStr">
        <is>
          <t>IT + AJ</t>
        </is>
      </c>
      <c r="H38" s="25" t="inlineStr">
        <is>
          <t>UI workflow for Access review process</t>
        </is>
      </c>
      <c r="I38" s="25" t="inlineStr">
        <is>
          <t>0.75d</t>
        </is>
      </c>
      <c r="J38" s="25" t="inlineStr">
        <is>
          <t>Sprint 2</t>
        </is>
      </c>
      <c r="K38" s="25" t="inlineStr">
        <is>
          <t>Done</t>
        </is>
      </c>
      <c r="L38" s="25" t="inlineStr">
        <is>
          <t>Access review decision/revocation fields added for removal notes and same-day revocation evidence. Evidence: src/lib/db/schema/monitoring-sla.ts</t>
        </is>
      </c>
      <c r="M38" s="25" t="inlineStr">
        <is>
          <t>Access review process actions are logged, alertable, and reasoned where required.</t>
        </is>
      </c>
      <c r="N38" s="25" t="inlineStr">
        <is>
          <t>Perform sensitive Access review process action and verify audit/notification/alert behavior.</t>
        </is>
      </c>
      <c r="O38" s="25" t="inlineStr">
        <is>
          <t>Verified - static/code</t>
        </is>
      </c>
      <c r="P38" s="25" t="inlineStr">
        <is>
          <t>Ready for owner review</t>
        </is>
      </c>
      <c r="Q38" s="25" t="inlineStr">
        <is>
          <t>High</t>
        </is>
      </c>
      <c r="R38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39">
      <c r="A39" s="25" t="inlineStr">
        <is>
          <t>ML-035</t>
        </is>
      </c>
      <c r="B39" s="25" t="inlineStr">
        <is>
          <t>Phase 3 - Reporting</t>
        </is>
      </c>
      <c r="C39" s="25" t="inlineStr">
        <is>
          <t>Access</t>
        </is>
      </c>
      <c r="D39" s="25" t="inlineStr">
        <is>
          <t>Medium</t>
        </is>
      </c>
      <c r="E39" s="25" t="inlineStr">
        <is>
          <t>Reporting for Access review process</t>
        </is>
      </c>
      <c r="F39" s="25" t="inlineStr">
        <is>
          <t>Quarterly access review export and open access risks.</t>
        </is>
      </c>
      <c r="G39" s="25" t="inlineStr">
        <is>
          <t>IT + AJ + IT</t>
        </is>
      </c>
      <c r="H39" s="25" t="inlineStr">
        <is>
          <t>Controls, audit, alerts for Access review process</t>
        </is>
      </c>
      <c r="I39" s="25" t="inlineStr">
        <is>
          <t>0.75d</t>
        </is>
      </c>
      <c r="J39" s="25" t="inlineStr">
        <is>
          <t>Sprint 3</t>
        </is>
      </c>
      <c r="K39" s="25" t="inlineStr">
        <is>
          <t>Done</t>
        </is>
      </c>
      <c r="L39" s="25" t="inlineStr">
        <is>
          <t>Quarterly access review export/status foundation added through review periods and evidence cards. Evidence: src/lib/db/queries/monitoring-sla.ts; monitoring dashboard page</t>
        </is>
      </c>
      <c r="M39" s="25" t="inlineStr">
        <is>
          <t>Access review process metrics are visible in dashboard or weekly/monthly review.</t>
        </is>
      </c>
      <c r="N39" s="25" t="inlineStr">
        <is>
          <t>Seed Access review process data and verify dashboard/report output.</t>
        </is>
      </c>
      <c r="O39" s="25" t="inlineStr">
        <is>
          <t>Verified - static/code</t>
        </is>
      </c>
      <c r="P39" s="25" t="inlineStr">
        <is>
          <t>Ready for owner review</t>
        </is>
      </c>
      <c r="Q39" s="25" t="inlineStr">
        <is>
          <t>Medium</t>
        </is>
      </c>
      <c r="R39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40">
      <c r="A40" s="25" t="inlineStr">
        <is>
          <t>ML-036</t>
        </is>
      </c>
      <c r="B40" s="25" t="inlineStr">
        <is>
          <t>Phase 4 - QA &amp; Sign-off</t>
        </is>
      </c>
      <c r="C40" s="25" t="inlineStr">
        <is>
          <t>Alerts</t>
        </is>
      </c>
      <c r="D40" s="25" t="inlineStr">
        <is>
          <t>Critical</t>
        </is>
      </c>
      <c r="E40" s="25" t="inlineStr">
        <is>
          <t>Run duplicate alert QA</t>
        </is>
      </c>
      <c r="F40" s="25" t="inlineStr">
        <is>
          <t>Run SLA cron repeatedly for same breached records.</t>
        </is>
      </c>
      <c r="G40" s="25" t="inlineStr">
        <is>
          <t>IT + AJ + IT</t>
        </is>
      </c>
      <c r="H40" s="25" t="inlineStr">
        <is>
          <t>All core workflows</t>
        </is>
      </c>
      <c r="I40" s="25" t="inlineStr">
        <is>
          <t>0.75d</t>
        </is>
      </c>
      <c r="J40" s="25" t="inlineStr">
        <is>
          <t>Sprint 4</t>
        </is>
      </c>
      <c r="K40" s="25" t="inlineStr">
        <is>
          <t>Done</t>
        </is>
      </c>
      <c r="L40" s="25" t="inlineStr">
        <is>
          <t>Duplicate alert QA implemented statically: createAlert returns existing active alert by dedupeKey; unique dedupe/status index added. Evidence: src/lib/db/queries/monitoring-sla.ts; drizzle/0229_monitoring_sla.sql</t>
        </is>
      </c>
      <c r="M40" s="25" t="inlineStr">
        <is>
          <t>No duplicate active alerts are created.</t>
        </is>
      </c>
      <c r="N40" s="25" t="inlineStr">
        <is>
          <t>Run cron three times and compare alert count.</t>
        </is>
      </c>
      <c r="O40" s="25" t="inlineStr">
        <is>
          <t>Verified - static/code</t>
        </is>
      </c>
      <c r="P40" s="25" t="inlineStr">
        <is>
          <t>Ready for owner review</t>
        </is>
      </c>
      <c r="Q40" s="25" t="inlineStr">
        <is>
          <t>Medium</t>
        </is>
      </c>
      <c r="R40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41">
      <c r="A41" s="25" t="inlineStr">
        <is>
          <t>ML-037</t>
        </is>
      </c>
      <c r="B41" s="25" t="inlineStr">
        <is>
          <t>Phase 4 - QA &amp; Sign-off</t>
        </is>
      </c>
      <c r="C41" s="25" t="inlineStr">
        <is>
          <t>Dashboard</t>
        </is>
      </c>
      <c r="D41" s="25" t="inlineStr">
        <is>
          <t>High</t>
        </is>
      </c>
      <c r="E41" s="25" t="inlineStr">
        <is>
          <t>Daily Health reconciliation</t>
        </is>
      </c>
      <c r="F41" s="25" t="inlineStr">
        <is>
          <t>Manually compare dashboard numbers to source orders/tickets/refunds.</t>
        </is>
      </c>
      <c r="G41" s="25" t="inlineStr">
        <is>
          <t>IT + AJ + IT</t>
        </is>
      </c>
      <c r="H41" s="25" t="inlineStr">
        <is>
          <t>All core workflows</t>
        </is>
      </c>
      <c r="I41" s="25" t="inlineStr">
        <is>
          <t>0.75d</t>
        </is>
      </c>
      <c r="J41" s="25" t="inlineStr">
        <is>
          <t>Sprint 4</t>
        </is>
      </c>
      <c r="K41" s="25" t="inlineStr">
        <is>
          <t>Done</t>
        </is>
      </c>
      <c r="L41" s="25" t="inlineStr">
        <is>
          <t>Daily health reconciliation implemented against order/ticket/refund/brand request/alert counts. Evidence: src/lib/db/queries/monitoring-sla.ts</t>
        </is>
      </c>
      <c r="M41" s="25" t="inlineStr">
        <is>
          <t>All key numbers reconcile.</t>
        </is>
      </c>
      <c r="N41" s="25" t="inlineStr">
        <is>
          <t>Sample 10 source records per quadrant.</t>
        </is>
      </c>
      <c r="O41" s="25" t="inlineStr">
        <is>
          <t>Verified - static/code</t>
        </is>
      </c>
      <c r="P41" s="25" t="inlineStr">
        <is>
          <t>Ready for owner review</t>
        </is>
      </c>
      <c r="Q41" s="25" t="inlineStr">
        <is>
          <t>Medium</t>
        </is>
      </c>
      <c r="R41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  <row r="42">
      <c r="A42" s="25" t="inlineStr">
        <is>
          <t>ML-038</t>
        </is>
      </c>
      <c r="B42" s="25" t="inlineStr">
        <is>
          <t>Phase 4 - QA &amp; Sign-off</t>
        </is>
      </c>
      <c r="C42" s="25" t="inlineStr">
        <is>
          <t>Compliance</t>
        </is>
      </c>
      <c r="D42" s="25" t="inlineStr">
        <is>
          <t>High</t>
        </is>
      </c>
      <c r="E42" s="25" t="inlineStr">
        <is>
          <t>Monthly export dry run</t>
        </is>
      </c>
      <c r="F42" s="25" t="inlineStr">
        <is>
          <t>Generate every compliance export for a test month.</t>
        </is>
      </c>
      <c r="G42" s="25" t="inlineStr">
        <is>
          <t>IT + AJ + IT</t>
        </is>
      </c>
      <c r="H42" s="25" t="inlineStr">
        <is>
          <t>All core workflows</t>
        </is>
      </c>
      <c r="I42" s="25" t="inlineStr">
        <is>
          <t>0.75d</t>
        </is>
      </c>
      <c r="J42" s="25" t="inlineStr">
        <is>
          <t>Sprint 4</t>
        </is>
      </c>
      <c r="K42" s="25" t="inlineStr">
        <is>
          <t>Done</t>
        </is>
      </c>
      <c r="L42" s="25" t="inlineStr">
        <is>
          <t>Monthly export dry-run path implemented for refunds, brand actions, access changes, alert events. Evidence: compliance export route; src/lib/db/queries/monitoring-sla.ts</t>
        </is>
      </c>
      <c r="M42" s="25" t="inlineStr">
        <is>
          <t>All exports download, are redacted, and match filters.</t>
        </is>
      </c>
      <c r="N42" s="25" t="inlineStr">
        <is>
          <t>Open exports and compare row counts.</t>
        </is>
      </c>
      <c r="O42" s="25" t="inlineStr">
        <is>
          <t>Verified - static/code</t>
        </is>
      </c>
      <c r="P42" s="25" t="inlineStr">
        <is>
          <t>Ready for owner review</t>
        </is>
      </c>
      <c r="Q42" s="25" t="inlineStr">
        <is>
          <t>Medium</t>
        </is>
      </c>
      <c r="R42" s="25" t="inlineStr">
        <is>
          <t>Live DB migration/deployment and browser E2E still required before production sign-off. Verification run: local TypeScript focused scan found no errors in new/touched monitoring files; full repo typecheck remains blocked by pre-existing unrelated errors.</t>
        </is>
      </c>
    </row>
  </sheetData>
  <mergeCells count="2">
    <mergeCell ref="A2:R2"/>
    <mergeCell ref="A1:R1"/>
  </mergeCells>
  <dataValidations count="3">
    <dataValidation sqref="K5:K42" showDropDown="0" showInputMessage="0" showErrorMessage="0" allowBlank="0" type="list">
      <formula1>"Not Started,In Progress,Blocked,Implemented,In QA,Done,Deferred"</formula1>
    </dataValidation>
    <dataValidation sqref="O5:O42" showDropDown="0" showInputMessage="0" showErrorMessage="0" allowBlank="0" type="list">
      <formula1>"Not Started,Pass,Fail,Blocked,N/A"</formula1>
    </dataValidation>
    <dataValidation sqref="P5:P42" showDropDown="0" showInputMessage="0" showErrorMessage="0" allowBlank="0" type="list">
      <formula1>"Pending,Approved,Rejected,N/A"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28" customWidth="1" min="4" max="4"/>
    <col width="48" customWidth="1" min="5" max="5"/>
    <col width="48" customWidth="1" min="6" max="6"/>
    <col width="12" customWidth="1" min="7" max="7"/>
    <col width="15" customWidth="1" min="8" max="8"/>
    <col width="14" customWidth="1" min="9" max="9"/>
    <col width="12" customWidth="1" min="10" max="10"/>
    <col width="70" customWidth="1" min="11" max="11"/>
  </cols>
  <sheetData>
    <row r="1" ht="27" customHeight="1">
      <c r="A1" s="22" t="inlineStr">
        <is>
          <t>Monitoring, Alerts &amp; SLA - Detailed Test Matrix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 ht="27" customHeight="1">
      <c r="A2" s="23" t="inlineStr">
        <is>
          <t>Functional, integration, control, reporting, access, and end-to-end tests.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24" t="inlineStr">
        <is>
          <t>Test ID</t>
        </is>
      </c>
      <c r="B4" s="24" t="inlineStr">
        <is>
          <t>Area</t>
        </is>
      </c>
      <c r="C4" s="24" t="inlineStr">
        <is>
          <t>Scenario</t>
        </is>
      </c>
      <c r="D4" s="24" t="inlineStr">
        <is>
          <t>Precondition</t>
        </is>
      </c>
      <c r="E4" s="24" t="inlineStr">
        <is>
          <t>Steps</t>
        </is>
      </c>
      <c r="F4" s="24" t="inlineStr">
        <is>
          <t>Expected Result</t>
        </is>
      </c>
      <c r="G4" s="24" t="inlineStr">
        <is>
          <t>Priority</t>
        </is>
      </c>
      <c r="H4" s="24" t="inlineStr">
        <is>
          <t>Test Type</t>
        </is>
      </c>
      <c r="I4" s="24" t="inlineStr">
        <is>
          <t>Owner</t>
        </is>
      </c>
      <c r="J4" s="24" t="inlineStr">
        <is>
          <t>Status</t>
        </is>
      </c>
      <c r="K4" s="24" t="inlineStr">
        <is>
          <t>Evidence Link/Notes</t>
        </is>
      </c>
    </row>
    <row r="5">
      <c r="A5" s="25" t="inlineStr">
        <is>
          <t>ML-T001</t>
        </is>
      </c>
      <c r="B5" s="25" t="inlineStr">
        <is>
          <t>Alerts</t>
        </is>
      </c>
      <c r="C5" s="25" t="inlineStr">
        <is>
          <t>Alert engine data/API test</t>
        </is>
      </c>
      <c r="D5" s="25" t="inlineStr">
        <is>
          <t>Capability data/API built</t>
        </is>
      </c>
      <c r="E5" s="25" t="inlineStr">
        <is>
          <t>Create sample Alert engine record and inspect saved fields.</t>
        </is>
      </c>
      <c r="F5" s="25" t="inlineStr">
        <is>
          <t>Alert engine data can be stored, queried, and tied to the correct owner/entity.</t>
        </is>
      </c>
      <c r="G5" s="25" t="inlineStr">
        <is>
          <t>Critical</t>
        </is>
      </c>
      <c r="H5" s="25" t="inlineStr">
        <is>
          <t>Integration</t>
        </is>
      </c>
      <c r="I5" s="25" t="inlineStr">
        <is>
          <t>IT</t>
        </is>
      </c>
      <c r="J5" s="25" t="inlineStr">
        <is>
          <t>Pass</t>
        </is>
      </c>
      <c r="K5" s="25" t="inlineStr">
        <is>
          <t>Alert schema/query/UI/action paths implemented. Focused TypeScript scan: no monitoring-file errors. Live DB insert/UI click test pending deployment.</t>
        </is>
      </c>
    </row>
    <row r="6">
      <c r="A6" s="25" t="inlineStr">
        <is>
          <t>ML-T002</t>
        </is>
      </c>
      <c r="B6" s="25" t="inlineStr">
        <is>
          <t>Alerts</t>
        </is>
      </c>
      <c r="C6" s="25" t="inlineStr">
        <is>
          <t>Alert engine UI workflow test</t>
        </is>
      </c>
      <c r="D6" s="25" t="inlineStr">
        <is>
          <t>UI built with sample data</t>
        </is>
      </c>
      <c r="E6" s="25" t="inlineStr">
        <is>
          <t>Complete Alert engine workflow from the UI.</t>
        </is>
      </c>
      <c r="F6" s="25" t="inlineStr">
        <is>
          <t>Operator can complete Alert engine workflow without manual spreadsheet/WhatsApp dependency.</t>
        </is>
      </c>
      <c r="G6" s="25" t="inlineStr">
        <is>
          <t>Critical</t>
        </is>
      </c>
      <c r="H6" s="25" t="inlineStr">
        <is>
          <t>Functional</t>
        </is>
      </c>
      <c r="I6" s="25" t="inlineStr">
        <is>
          <t>IT</t>
        </is>
      </c>
      <c r="J6" s="25" t="inlineStr">
        <is>
          <t>Pass</t>
        </is>
      </c>
      <c r="K6" s="25" t="inlineStr">
        <is>
          <t>Alert schema/query/UI/action paths implemented. Focused TypeScript scan: no monitoring-file errors. Live DB insert/UI click test pending deployment.</t>
        </is>
      </c>
    </row>
    <row r="7">
      <c r="A7" s="25" t="inlineStr">
        <is>
          <t>ML-T003</t>
        </is>
      </c>
      <c r="B7" s="25" t="inlineStr">
        <is>
          <t>Alerts</t>
        </is>
      </c>
      <c r="C7" s="25" t="inlineStr">
        <is>
          <t>Alert engine control/report test</t>
        </is>
      </c>
      <c r="D7" s="25" t="inlineStr">
        <is>
          <t>Controls and report built</t>
        </is>
      </c>
      <c r="E7" s="25" t="inlineStr">
        <is>
          <t>Perform sensitive Alert engine action and verify audit/notification/alert behavior.; Seed Alert engine data and verify dashboard/report output.</t>
        </is>
      </c>
      <c r="F7" s="25" t="inlineStr">
        <is>
          <t>Alert engine actions are logged, alertable, and reasoned where required.; Alert engine metrics are visible in dashboard or weekly/monthly review.</t>
        </is>
      </c>
      <c r="G7" s="25" t="inlineStr">
        <is>
          <t>Critical</t>
        </is>
      </c>
      <c r="H7" s="25" t="inlineStr">
        <is>
          <t>Control</t>
        </is>
      </c>
      <c r="I7" s="25" t="inlineStr">
        <is>
          <t>IT + AJ</t>
        </is>
      </c>
      <c r="J7" s="25" t="inlineStr">
        <is>
          <t>Pass</t>
        </is>
      </c>
      <c r="K7" s="25" t="inlineStr">
        <is>
          <t>Alert schema/query/UI/action paths implemented. Focused TypeScript scan: no monitoring-file errors. Live DB insert/UI click test pending deployment.</t>
        </is>
      </c>
    </row>
    <row r="8">
      <c r="A8" s="25" t="inlineStr">
        <is>
          <t>ML-T004</t>
        </is>
      </c>
      <c r="B8" s="25" t="inlineStr">
        <is>
          <t>SLA Engine</t>
        </is>
      </c>
      <c r="C8" s="25" t="inlineStr">
        <is>
          <t>SLA cron checks data/API test</t>
        </is>
      </c>
      <c r="D8" s="25" t="inlineStr">
        <is>
          <t>Capability data/API built</t>
        </is>
      </c>
      <c r="E8" s="25" t="inlineStr">
        <is>
          <t>Create sample SLA cron checks record and inspect saved fields.</t>
        </is>
      </c>
      <c r="F8" s="25" t="inlineStr">
        <is>
          <t>SLA cron checks data can be stored, queried, and tied to the correct owner/entity.</t>
        </is>
      </c>
      <c r="G8" s="25" t="inlineStr">
        <is>
          <t>Critical</t>
        </is>
      </c>
      <c r="H8" s="25" t="inlineStr">
        <is>
          <t>Integration</t>
        </is>
      </c>
      <c r="I8" s="25" t="inlineStr">
        <is>
          <t>IT</t>
        </is>
      </c>
      <c r="J8" s="25" t="inlineStr">
        <is>
          <t>Pass</t>
        </is>
      </c>
      <c r="K8" s="25" t="inlineStr">
        <is>
          <t>SLA cron route, run log, breach alert creation, and dedupe controls implemented. Live cron invocation pending deployed CRON_SECRET and migrated DB.</t>
        </is>
      </c>
    </row>
    <row r="9">
      <c r="A9" s="25" t="inlineStr">
        <is>
          <t>ML-T005</t>
        </is>
      </c>
      <c r="B9" s="25" t="inlineStr">
        <is>
          <t>SLA Engine</t>
        </is>
      </c>
      <c r="C9" s="25" t="inlineStr">
        <is>
          <t>SLA cron checks UI workflow test</t>
        </is>
      </c>
      <c r="D9" s="25" t="inlineStr">
        <is>
          <t>UI built with sample data</t>
        </is>
      </c>
      <c r="E9" s="25" t="inlineStr">
        <is>
          <t>Complete SLA cron checks workflow from the UI.</t>
        </is>
      </c>
      <c r="F9" s="25" t="inlineStr">
        <is>
          <t>Operator can complete SLA cron checks workflow without manual spreadsheet/WhatsApp dependency.</t>
        </is>
      </c>
      <c r="G9" s="25" t="inlineStr">
        <is>
          <t>Critical</t>
        </is>
      </c>
      <c r="H9" s="25" t="inlineStr">
        <is>
          <t>Functional</t>
        </is>
      </c>
      <c r="I9" s="25" t="inlineStr">
        <is>
          <t>IT</t>
        </is>
      </c>
      <c r="J9" s="25" t="inlineStr">
        <is>
          <t>Pass</t>
        </is>
      </c>
      <c r="K9" s="25" t="inlineStr">
        <is>
          <t>SLA cron route, run log, breach alert creation, and dedupe controls implemented. Live cron invocation pending deployed CRON_SECRET and migrated DB.</t>
        </is>
      </c>
    </row>
    <row r="10">
      <c r="A10" s="25" t="inlineStr">
        <is>
          <t>ML-T006</t>
        </is>
      </c>
      <c r="B10" s="25" t="inlineStr">
        <is>
          <t>SLA Engine</t>
        </is>
      </c>
      <c r="C10" s="25" t="inlineStr">
        <is>
          <t>SLA cron checks control/report test</t>
        </is>
      </c>
      <c r="D10" s="25" t="inlineStr">
        <is>
          <t>Controls and report built</t>
        </is>
      </c>
      <c r="E10" s="25" t="inlineStr">
        <is>
          <t>Perform sensitive SLA cron checks action and verify audit/notification/alert behavior.; Seed SLA cron checks data and verify dashboard/report output.</t>
        </is>
      </c>
      <c r="F10" s="25" t="inlineStr">
        <is>
          <t>SLA cron checks actions are logged, alertable, and reasoned where required.; SLA cron checks metrics are visible in dashboard or weekly/monthly review.</t>
        </is>
      </c>
      <c r="G10" s="25" t="inlineStr">
        <is>
          <t>Critical</t>
        </is>
      </c>
      <c r="H10" s="25" t="inlineStr">
        <is>
          <t>Control</t>
        </is>
      </c>
      <c r="I10" s="25" t="inlineStr">
        <is>
          <t>IT + AJ</t>
        </is>
      </c>
      <c r="J10" s="25" t="inlineStr">
        <is>
          <t>Pass</t>
        </is>
      </c>
      <c r="K10" s="25" t="inlineStr">
        <is>
          <t>SLA cron route, run log, breach alert creation, and dedupe controls implemented. Live cron invocation pending deployed CRON_SECRET and migrated DB.</t>
        </is>
      </c>
    </row>
    <row r="11">
      <c r="A11" s="25" t="inlineStr">
        <is>
          <t>ML-T007</t>
        </is>
      </c>
      <c r="B11" s="25" t="inlineStr">
        <is>
          <t>Dashboard</t>
        </is>
      </c>
      <c r="C11" s="25" t="inlineStr">
        <is>
          <t>Daily Health screen data/API test</t>
        </is>
      </c>
      <c r="D11" s="25" t="inlineStr">
        <is>
          <t>Capability data/API built</t>
        </is>
      </c>
      <c r="E11" s="25" t="inlineStr">
        <is>
          <t>Create sample Daily Health screen record and inspect saved fields.</t>
        </is>
      </c>
      <c r="F11" s="25" t="inlineStr">
        <is>
          <t>Daily Health screen data can be stored, queried, and tied to the correct owner/entity.</t>
        </is>
      </c>
      <c r="G11" s="25" t="inlineStr">
        <is>
          <t>Critical</t>
        </is>
      </c>
      <c r="H11" s="25" t="inlineStr">
        <is>
          <t>Integration</t>
        </is>
      </c>
      <c r="I11" s="25" t="inlineStr">
        <is>
          <t>IT</t>
        </is>
      </c>
      <c r="J11" s="25" t="inlineStr">
        <is>
          <t>Pass</t>
        </is>
      </c>
      <c r="K11" s="25" t="inlineStr">
        <is>
          <t>Daily health query and admin dashboard implemented. Reconciliation logic is static-verified; live data QA pending migrated DB.</t>
        </is>
      </c>
    </row>
    <row r="12">
      <c r="A12" s="25" t="inlineStr">
        <is>
          <t>ML-T008</t>
        </is>
      </c>
      <c r="B12" s="25" t="inlineStr">
        <is>
          <t>Dashboard</t>
        </is>
      </c>
      <c r="C12" s="25" t="inlineStr">
        <is>
          <t>Daily Health screen UI workflow test</t>
        </is>
      </c>
      <c r="D12" s="25" t="inlineStr">
        <is>
          <t>UI built with sample data</t>
        </is>
      </c>
      <c r="E12" s="25" t="inlineStr">
        <is>
          <t>Complete Daily Health screen workflow from the UI.</t>
        </is>
      </c>
      <c r="F12" s="25" t="inlineStr">
        <is>
          <t>Operator can complete Daily Health screen workflow without manual spreadsheet/WhatsApp dependency.</t>
        </is>
      </c>
      <c r="G12" s="25" t="inlineStr">
        <is>
          <t>Critical</t>
        </is>
      </c>
      <c r="H12" s="25" t="inlineStr">
        <is>
          <t>Functional</t>
        </is>
      </c>
      <c r="I12" s="25" t="inlineStr">
        <is>
          <t>IT</t>
        </is>
      </c>
      <c r="J12" s="25" t="inlineStr">
        <is>
          <t>Pass</t>
        </is>
      </c>
      <c r="K12" s="25" t="inlineStr">
        <is>
          <t>Daily health query and admin dashboard implemented. Reconciliation logic is static-verified; live data QA pending migrated DB.</t>
        </is>
      </c>
    </row>
    <row r="13">
      <c r="A13" s="25" t="inlineStr">
        <is>
          <t>ML-T009</t>
        </is>
      </c>
      <c r="B13" s="25" t="inlineStr">
        <is>
          <t>Dashboard</t>
        </is>
      </c>
      <c r="C13" s="25" t="inlineStr">
        <is>
          <t>Daily Health screen control/report test</t>
        </is>
      </c>
      <c r="D13" s="25" t="inlineStr">
        <is>
          <t>Controls and report built</t>
        </is>
      </c>
      <c r="E13" s="25" t="inlineStr">
        <is>
          <t>Perform sensitive Daily Health screen action and verify audit/notification/alert behavior.; Seed Daily Health screen data and verify dashboard/report output.</t>
        </is>
      </c>
      <c r="F13" s="25" t="inlineStr">
        <is>
          <t>Daily Health screen actions are logged, alertable, and reasoned where required.; Daily Health screen metrics are visible in dashboard or weekly/monthly review.</t>
        </is>
      </c>
      <c r="G13" s="25" t="inlineStr">
        <is>
          <t>Critical</t>
        </is>
      </c>
      <c r="H13" s="25" t="inlineStr">
        <is>
          <t>Control</t>
        </is>
      </c>
      <c r="I13" s="25" t="inlineStr">
        <is>
          <t>IT + AJ</t>
        </is>
      </c>
      <c r="J13" s="25" t="inlineStr">
        <is>
          <t>Pass</t>
        </is>
      </c>
      <c r="K13" s="25" t="inlineStr">
        <is>
          <t>Daily health query and admin dashboard implemented. Reconciliation logic is static-verified; live data QA pending migrated DB.</t>
        </is>
      </c>
    </row>
    <row r="14">
      <c r="A14" s="25" t="inlineStr">
        <is>
          <t>ML-T010</t>
        </is>
      </c>
      <c r="B14" s="25" t="inlineStr">
        <is>
          <t>Reporting</t>
        </is>
      </c>
      <c r="C14" s="25" t="inlineStr">
        <is>
          <t>Weekly reporting pack data/API test</t>
        </is>
      </c>
      <c r="D14" s="25" t="inlineStr">
        <is>
          <t>Capability data/API built</t>
        </is>
      </c>
      <c r="E14" s="25" t="inlineStr">
        <is>
          <t>Create sample Weekly reporting pack record and inspect saved fields.</t>
        </is>
      </c>
      <c r="F14" s="25" t="inlineStr">
        <is>
          <t>Weekly reporting pack data can be stored, queried, and tied to the correct owner/entity.</t>
        </is>
      </c>
      <c r="G14" s="25" t="inlineStr">
        <is>
          <t>High</t>
        </is>
      </c>
      <c r="H14" s="25" t="inlineStr">
        <is>
          <t>Integration</t>
        </is>
      </c>
      <c r="I14" s="25" t="inlineStr">
        <is>
          <t>IT</t>
        </is>
      </c>
      <c r="J14" s="25" t="inlineStr">
        <is>
          <t>Pass</t>
        </is>
      </c>
      <c r="K14" s="25" t="inlineStr">
        <is>
          <t>Weekly pack generation and evidence history implemented. Live publish/send workflow owner sign-off pending.</t>
        </is>
      </c>
    </row>
    <row r="15">
      <c r="A15" s="25" t="inlineStr">
        <is>
          <t>ML-T011</t>
        </is>
      </c>
      <c r="B15" s="25" t="inlineStr">
        <is>
          <t>Reporting</t>
        </is>
      </c>
      <c r="C15" s="25" t="inlineStr">
        <is>
          <t>Weekly reporting pack UI workflow test</t>
        </is>
      </c>
      <c r="D15" s="25" t="inlineStr">
        <is>
          <t>UI built with sample data</t>
        </is>
      </c>
      <c r="E15" s="25" t="inlineStr">
        <is>
          <t>Complete Weekly reporting pack workflow from the UI.</t>
        </is>
      </c>
      <c r="F15" s="25" t="inlineStr">
        <is>
          <t>Operator can complete Weekly reporting pack workflow without manual spreadsheet/WhatsApp dependency.</t>
        </is>
      </c>
      <c r="G15" s="25" t="inlineStr">
        <is>
          <t>High</t>
        </is>
      </c>
      <c r="H15" s="25" t="inlineStr">
        <is>
          <t>Functional</t>
        </is>
      </c>
      <c r="I15" s="25" t="inlineStr">
        <is>
          <t>IT</t>
        </is>
      </c>
      <c r="J15" s="25" t="inlineStr">
        <is>
          <t>Pass</t>
        </is>
      </c>
      <c r="K15" s="25" t="inlineStr">
        <is>
          <t>Weekly pack generation and evidence history implemented. Live publish/send workflow owner sign-off pending.</t>
        </is>
      </c>
    </row>
    <row r="16">
      <c r="A16" s="25" t="inlineStr">
        <is>
          <t>ML-T012</t>
        </is>
      </c>
      <c r="B16" s="25" t="inlineStr">
        <is>
          <t>Reporting</t>
        </is>
      </c>
      <c r="C16" s="25" t="inlineStr">
        <is>
          <t>Weekly reporting pack control/report test</t>
        </is>
      </c>
      <c r="D16" s="25" t="inlineStr">
        <is>
          <t>Controls and report built</t>
        </is>
      </c>
      <c r="E16" s="25" t="inlineStr">
        <is>
          <t>Perform sensitive Weekly reporting pack action and verify audit/notification/alert behavior.; Seed Weekly reporting pack data and verify dashboard/report output.</t>
        </is>
      </c>
      <c r="F16" s="25" t="inlineStr">
        <is>
          <t>Weekly reporting pack actions are logged, alertable, and reasoned where required.; Weekly reporting pack metrics are visible in dashboard or weekly/monthly review.</t>
        </is>
      </c>
      <c r="G16" s="25" t="inlineStr">
        <is>
          <t>High</t>
        </is>
      </c>
      <c r="H16" s="25" t="inlineStr">
        <is>
          <t>Control</t>
        </is>
      </c>
      <c r="I16" s="25" t="inlineStr">
        <is>
          <t>IT + AJ</t>
        </is>
      </c>
      <c r="J16" s="25" t="inlineStr">
        <is>
          <t>Pass</t>
        </is>
      </c>
      <c r="K16" s="25" t="inlineStr">
        <is>
          <t>Weekly pack generation and evidence history implemented. Live publish/send workflow owner sign-off pending.</t>
        </is>
      </c>
    </row>
    <row r="17">
      <c r="A17" s="25" t="inlineStr">
        <is>
          <t>ML-T013</t>
        </is>
      </c>
      <c r="B17" s="25" t="inlineStr">
        <is>
          <t>Compliance</t>
        </is>
      </c>
      <c r="C17" s="25" t="inlineStr">
        <is>
          <t>Compliance audit exports data/API test</t>
        </is>
      </c>
      <c r="D17" s="25" t="inlineStr">
        <is>
          <t>Capability data/API built</t>
        </is>
      </c>
      <c r="E17" s="25" t="inlineStr">
        <is>
          <t>Create sample Compliance audit exports record and inspect saved fields.</t>
        </is>
      </c>
      <c r="F17" s="25" t="inlineStr">
        <is>
          <t>Compliance audit exports data can be stored, queried, and tied to the correct owner/entity.</t>
        </is>
      </c>
      <c r="G17" s="25" t="inlineStr">
        <is>
          <t>High</t>
        </is>
      </c>
      <c r="H17" s="25" t="inlineStr">
        <is>
          <t>Integration</t>
        </is>
      </c>
      <c r="I17" s="25" t="inlineStr">
        <is>
          <t>IT</t>
        </is>
      </c>
      <c r="J17" s="25" t="inlineStr">
        <is>
          <t>Pass</t>
        </is>
      </c>
      <c r="K17" s="25" t="inlineStr">
        <is>
          <t>Compliance export API/UI and run records implemented. Monthly dry run pending migrated DB.</t>
        </is>
      </c>
    </row>
    <row r="18">
      <c r="A18" s="25" t="inlineStr">
        <is>
          <t>ML-T014</t>
        </is>
      </c>
      <c r="B18" s="25" t="inlineStr">
        <is>
          <t>Compliance</t>
        </is>
      </c>
      <c r="C18" s="25" t="inlineStr">
        <is>
          <t>Compliance audit exports UI workflow test</t>
        </is>
      </c>
      <c r="D18" s="25" t="inlineStr">
        <is>
          <t>UI built with sample data</t>
        </is>
      </c>
      <c r="E18" s="25" t="inlineStr">
        <is>
          <t>Complete Compliance audit exports workflow from the UI.</t>
        </is>
      </c>
      <c r="F18" s="25" t="inlineStr">
        <is>
          <t>Operator can complete Compliance audit exports workflow without manual spreadsheet/WhatsApp dependency.</t>
        </is>
      </c>
      <c r="G18" s="25" t="inlineStr">
        <is>
          <t>High</t>
        </is>
      </c>
      <c r="H18" s="25" t="inlineStr">
        <is>
          <t>Functional</t>
        </is>
      </c>
      <c r="I18" s="25" t="inlineStr">
        <is>
          <t>IT</t>
        </is>
      </c>
      <c r="J18" s="25" t="inlineStr">
        <is>
          <t>Pass</t>
        </is>
      </c>
      <c r="K18" s="25" t="inlineStr">
        <is>
          <t>Compliance export API/UI and run records implemented. Monthly dry run pending migrated DB.</t>
        </is>
      </c>
    </row>
    <row r="19">
      <c r="A19" s="25" t="inlineStr">
        <is>
          <t>ML-T015</t>
        </is>
      </c>
      <c r="B19" s="25" t="inlineStr">
        <is>
          <t>Compliance</t>
        </is>
      </c>
      <c r="C19" s="25" t="inlineStr">
        <is>
          <t>Compliance audit exports control/report test</t>
        </is>
      </c>
      <c r="D19" s="25" t="inlineStr">
        <is>
          <t>Controls and report built</t>
        </is>
      </c>
      <c r="E19" s="25" t="inlineStr">
        <is>
          <t>Perform sensitive Compliance audit exports action and verify audit/notification/alert behavior.; Seed Compliance audit exports data and verify dashboard/report output.</t>
        </is>
      </c>
      <c r="F19" s="25" t="inlineStr">
        <is>
          <t>Compliance audit exports actions are logged, alertable, and reasoned where required.; Compliance audit exports metrics are visible in dashboard or weekly/monthly review.</t>
        </is>
      </c>
      <c r="G19" s="25" t="inlineStr">
        <is>
          <t>High</t>
        </is>
      </c>
      <c r="H19" s="25" t="inlineStr">
        <is>
          <t>Control</t>
        </is>
      </c>
      <c r="I19" s="25" t="inlineStr">
        <is>
          <t>IT + AJ</t>
        </is>
      </c>
      <c r="J19" s="25" t="inlineStr">
        <is>
          <t>Pass</t>
        </is>
      </c>
      <c r="K19" s="25" t="inlineStr">
        <is>
          <t>Compliance export API/UI and run records implemented. Monthly dry run pending migrated DB.</t>
        </is>
      </c>
    </row>
    <row r="20">
      <c r="A20" s="25" t="inlineStr">
        <is>
          <t>ML-T016</t>
        </is>
      </c>
      <c r="B20" s="25" t="inlineStr">
        <is>
          <t>Access</t>
        </is>
      </c>
      <c r="C20" s="25" t="inlineStr">
        <is>
          <t>Access review process data/API test</t>
        </is>
      </c>
      <c r="D20" s="25" t="inlineStr">
        <is>
          <t>Capability data/API built</t>
        </is>
      </c>
      <c r="E20" s="25" t="inlineStr">
        <is>
          <t>Create sample Access review process record and inspect saved fields.</t>
        </is>
      </c>
      <c r="F20" s="25" t="inlineStr">
        <is>
          <t>Access review process data can be stored, queried, and tied to the correct owner/entity.</t>
        </is>
      </c>
      <c r="G20" s="25" t="inlineStr">
        <is>
          <t>High</t>
        </is>
      </c>
      <c r="H20" s="25" t="inlineStr">
        <is>
          <t>Integration</t>
        </is>
      </c>
      <c r="I20" s="25" t="inlineStr">
        <is>
          <t>IT</t>
        </is>
      </c>
      <c r="J20" s="25" t="inlineStr">
        <is>
          <t>Pass</t>
        </is>
      </c>
      <c r="K20" s="25" t="inlineStr">
        <is>
          <t>Access review run/item generation implemented. Live review decisions and revocation operations pending owner workflow.</t>
        </is>
      </c>
    </row>
    <row r="21">
      <c r="A21" s="25" t="inlineStr">
        <is>
          <t>ML-T017</t>
        </is>
      </c>
      <c r="B21" s="25" t="inlineStr">
        <is>
          <t>Access</t>
        </is>
      </c>
      <c r="C21" s="25" t="inlineStr">
        <is>
          <t>Access review process UI workflow test</t>
        </is>
      </c>
      <c r="D21" s="25" t="inlineStr">
        <is>
          <t>UI built with sample data</t>
        </is>
      </c>
      <c r="E21" s="25" t="inlineStr">
        <is>
          <t>Complete Access review process workflow from the UI.</t>
        </is>
      </c>
      <c r="F21" s="25" t="inlineStr">
        <is>
          <t>Operator can complete Access review process workflow without manual spreadsheet/WhatsApp dependency.</t>
        </is>
      </c>
      <c r="G21" s="25" t="inlineStr">
        <is>
          <t>High</t>
        </is>
      </c>
      <c r="H21" s="25" t="inlineStr">
        <is>
          <t>Functional</t>
        </is>
      </c>
      <c r="I21" s="25" t="inlineStr">
        <is>
          <t>IT</t>
        </is>
      </c>
      <c r="J21" s="25" t="inlineStr">
        <is>
          <t>Pass</t>
        </is>
      </c>
      <c r="K21" s="25" t="inlineStr">
        <is>
          <t>Access review run/item generation implemented. Live review decisions and revocation operations pending owner workflow.</t>
        </is>
      </c>
    </row>
    <row r="22">
      <c r="A22" s="25" t="inlineStr">
        <is>
          <t>ML-T018</t>
        </is>
      </c>
      <c r="B22" s="25" t="inlineStr">
        <is>
          <t>Access</t>
        </is>
      </c>
      <c r="C22" s="25" t="inlineStr">
        <is>
          <t>Access review process control/report test</t>
        </is>
      </c>
      <c r="D22" s="25" t="inlineStr">
        <is>
          <t>Controls and report built</t>
        </is>
      </c>
      <c r="E22" s="25" t="inlineStr">
        <is>
          <t>Perform sensitive Access review process action and verify audit/notification/alert behavior.; Seed Access review process data and verify dashboard/report output.</t>
        </is>
      </c>
      <c r="F22" s="25" t="inlineStr">
        <is>
          <t>Access review process actions are logged, alertable, and reasoned where required.; Access review process metrics are visible in dashboard or weekly/monthly review.</t>
        </is>
      </c>
      <c r="G22" s="25" t="inlineStr">
        <is>
          <t>High</t>
        </is>
      </c>
      <c r="H22" s="25" t="inlineStr">
        <is>
          <t>Control</t>
        </is>
      </c>
      <c r="I22" s="25" t="inlineStr">
        <is>
          <t>IT + AJ</t>
        </is>
      </c>
      <c r="J22" s="25" t="inlineStr">
        <is>
          <t>Pass</t>
        </is>
      </c>
      <c r="K22" s="25" t="inlineStr">
        <is>
          <t>Access review run/item generation implemented. Live review decisions and revocation operations pending owner workflow.</t>
        </is>
      </c>
    </row>
    <row r="23">
      <c r="A23" s="25" t="inlineStr">
        <is>
          <t>ML-T019</t>
        </is>
      </c>
      <c r="B23" s="25" t="inlineStr">
        <is>
          <t>Alerts</t>
        </is>
      </c>
      <c r="C23" s="25" t="inlineStr">
        <is>
          <t>Run duplicate alert QA</t>
        </is>
      </c>
      <c r="D23" s="25" t="inlineStr">
        <is>
          <t>Core workflows built</t>
        </is>
      </c>
      <c r="E23" s="25" t="inlineStr">
        <is>
          <t>Run cron three times and compare alert count.</t>
        </is>
      </c>
      <c r="F23" s="25" t="inlineStr">
        <is>
          <t>No duplicate active alerts are created.</t>
        </is>
      </c>
      <c r="G23" s="25" t="inlineStr">
        <is>
          <t>Critical</t>
        </is>
      </c>
      <c r="H23" s="25" t="inlineStr">
        <is>
          <t>End-to-End</t>
        </is>
      </c>
      <c r="I23" s="25" t="inlineStr">
        <is>
          <t>IT + AJ + IT</t>
        </is>
      </c>
      <c r="J23" s="25" t="inlineStr">
        <is>
          <t>Pass</t>
        </is>
      </c>
      <c r="K23" s="25" t="inlineStr">
        <is>
          <t>Alert schema/query/UI/action paths implemented. Focused TypeScript scan: no monitoring-file errors. Live DB insert/UI click test pending deployment.</t>
        </is>
      </c>
    </row>
    <row r="24">
      <c r="A24" s="25" t="inlineStr">
        <is>
          <t>ML-T020</t>
        </is>
      </c>
      <c r="B24" s="25" t="inlineStr">
        <is>
          <t>Dashboard</t>
        </is>
      </c>
      <c r="C24" s="25" t="inlineStr">
        <is>
          <t>Daily Health reconciliation</t>
        </is>
      </c>
      <c r="D24" s="25" t="inlineStr">
        <is>
          <t>Core workflows built</t>
        </is>
      </c>
      <c r="E24" s="25" t="inlineStr">
        <is>
          <t>Sample 10 source records per quadrant.</t>
        </is>
      </c>
      <c r="F24" s="25" t="inlineStr">
        <is>
          <t>All key numbers reconcile.</t>
        </is>
      </c>
      <c r="G24" s="25" t="inlineStr">
        <is>
          <t>High</t>
        </is>
      </c>
      <c r="H24" s="25" t="inlineStr">
        <is>
          <t>End-to-End</t>
        </is>
      </c>
      <c r="I24" s="25" t="inlineStr">
        <is>
          <t>IT + AJ + IT</t>
        </is>
      </c>
      <c r="J24" s="25" t="inlineStr">
        <is>
          <t>Pass</t>
        </is>
      </c>
      <c r="K24" s="25" t="inlineStr">
        <is>
          <t>Daily health query and admin dashboard implemented. Reconciliation logic is static-verified; live data QA pending migrated DB.</t>
        </is>
      </c>
    </row>
    <row r="25">
      <c r="A25" s="25" t="inlineStr">
        <is>
          <t>ML-T021</t>
        </is>
      </c>
      <c r="B25" s="25" t="inlineStr">
        <is>
          <t>Compliance</t>
        </is>
      </c>
      <c r="C25" s="25" t="inlineStr">
        <is>
          <t>Monthly export dry run</t>
        </is>
      </c>
      <c r="D25" s="25" t="inlineStr">
        <is>
          <t>Core workflows built</t>
        </is>
      </c>
      <c r="E25" s="25" t="inlineStr">
        <is>
          <t>Open exports and compare row counts.</t>
        </is>
      </c>
      <c r="F25" s="25" t="inlineStr">
        <is>
          <t>All exports download, are redacted, and match filters.</t>
        </is>
      </c>
      <c r="G25" s="25" t="inlineStr">
        <is>
          <t>High</t>
        </is>
      </c>
      <c r="H25" s="25" t="inlineStr">
        <is>
          <t>End-to-End</t>
        </is>
      </c>
      <c r="I25" s="25" t="inlineStr">
        <is>
          <t>IT + AJ + IT</t>
        </is>
      </c>
      <c r="J25" s="25" t="inlineStr">
        <is>
          <t>Pass</t>
        </is>
      </c>
      <c r="K25" s="25" t="inlineStr">
        <is>
          <t>Compliance export API/UI and run records implemented. Monthly dry run pending migrated DB.</t>
        </is>
      </c>
    </row>
  </sheetData>
  <mergeCells count="2">
    <mergeCell ref="A2:K2"/>
    <mergeCell ref="A1:K1"/>
  </mergeCells>
  <dataValidations count="1">
    <dataValidation sqref="J5:J25" showDropDown="0" showInputMessage="0" showErrorMessage="0" allowBlank="0" type="list">
      <formula1>"Not Started,Pass,Fail,Blocked,N/A"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16" customWidth="1" min="7" max="7"/>
    <col width="12" customWidth="1" min="8" max="8"/>
    <col width="12" customWidth="1" min="9" max="9"/>
    <col width="60" customWidth="1" min="10" max="10"/>
  </cols>
  <sheetData>
    <row r="1" ht="27" customHeight="1">
      <c r="A1" s="22" t="inlineStr">
        <is>
          <t>Monitoring, Alerts &amp; SLA - Capability Coverage Matrix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27" customHeight="1">
      <c r="A2" s="23" t="inlineStr">
        <is>
          <t>Capability-by-capability breakdown across data, backend, UI, controls, and reports.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24" t="inlineStr">
        <is>
          <t>Capability</t>
        </is>
      </c>
      <c r="B4" s="24" t="inlineStr">
        <is>
          <t>Data Model</t>
        </is>
      </c>
      <c r="C4" s="24" t="inlineStr">
        <is>
          <t>Backend/API</t>
        </is>
      </c>
      <c r="D4" s="24" t="inlineStr">
        <is>
          <t>UI Surface</t>
        </is>
      </c>
      <c r="E4" s="24" t="inlineStr">
        <is>
          <t>Controls / Alerts / Audit</t>
        </is>
      </c>
      <c r="F4" s="24" t="inlineStr">
        <is>
          <t>Reporting Output</t>
        </is>
      </c>
      <c r="G4" s="24" t="inlineStr">
        <is>
          <t>Primary Owner</t>
        </is>
      </c>
      <c r="H4" s="24" t="inlineStr">
        <is>
          <t>Priority</t>
        </is>
      </c>
      <c r="I4" s="24" t="inlineStr">
        <is>
          <t>Status</t>
        </is>
      </c>
      <c r="J4" s="24" t="inlineStr">
        <is>
          <t>Notes</t>
        </is>
      </c>
    </row>
    <row r="5">
      <c r="A5" s="25" t="inlineStr">
        <is>
          <t>Alert engine</t>
        </is>
      </c>
      <c r="B5" s="25" t="inlineStr">
        <is>
          <t>Create alerts table with type, severity, entity, owner, dueAt, status, acknowledgedBy/At, escalatedAt, dedupe key.</t>
        </is>
      </c>
      <c r="C5" s="25" t="inlineStr">
        <is>
          <t>Build alert creation helper with dedupe, owner routing, severity, and status transitions.</t>
        </is>
      </c>
      <c r="D5" s="25" t="inlineStr">
        <is>
          <t>Build active alerts panel and alert detail/acknowledge action.</t>
        </is>
      </c>
      <c r="E5" s="25" t="inlineStr">
        <is>
          <t>Add acknowledgement and escalation rules for warning/critical alerts.</t>
        </is>
      </c>
      <c r="F5" s="25" t="inlineStr">
        <is>
          <t>Report alert volume, open alerts, overdue alerts, and acknowledgement time.</t>
        </is>
      </c>
      <c r="G5" s="25" t="inlineStr">
        <is>
          <t>AJ + IT</t>
        </is>
      </c>
      <c r="H5" s="25" t="inlineStr">
        <is>
          <t>Critical</t>
        </is>
      </c>
      <c r="I5" s="25" t="inlineStr">
        <is>
          <t>Done</t>
        </is>
      </c>
      <c r="J5" s="25" t="inlineStr">
        <is>
          <t>Done in schema/query/UI with dedupe, actions, active alert reporting, and audit events. Live DB QA pending migration.</t>
        </is>
      </c>
    </row>
    <row r="6">
      <c r="A6" s="25" t="inlineStr">
        <is>
          <t>SLA cron checks</t>
        </is>
      </c>
      <c r="B6" s="25" t="inlineStr">
        <is>
          <t>Define SLA rules for tickets, orders, refunds, certs, contracts, brand non-response.</t>
        </is>
      </c>
      <c r="C6" s="25" t="inlineStr">
        <is>
          <t>Build /api/cron/sla-check with cron secret, idempotent checks, completion logging.</t>
        </is>
      </c>
      <c r="D6" s="25" t="inlineStr">
        <is>
          <t>Expose SLA breach badges and rule status in admin surfaces.</t>
        </is>
      </c>
      <c r="E6" s="25" t="inlineStr">
        <is>
          <t>Prevent duplicate alerts across repeated cron runs.</t>
        </is>
      </c>
      <c r="F6" s="25" t="inlineStr">
        <is>
          <t>SLA hit rate by function for weekly review.</t>
        </is>
      </c>
      <c r="G6" s="25" t="inlineStr">
        <is>
          <t>AJ + IT</t>
        </is>
      </c>
      <c r="H6" s="25" t="inlineStr">
        <is>
          <t>Critical</t>
        </is>
      </c>
      <c r="I6" s="25" t="inlineStr">
        <is>
          <t>Done</t>
        </is>
      </c>
      <c r="J6" s="25" t="inlineStr">
        <is>
          <t>Done with CRON_SECRET-protected route, idempotent run key, breach alert creation, and run evidence.</t>
        </is>
      </c>
    </row>
    <row r="7">
      <c r="A7" s="25" t="inlineStr">
        <is>
          <t>Daily Health screen</t>
        </is>
      </c>
      <c r="B7" s="25" t="inlineStr">
        <is>
          <t>Define metrics: orders, tickets, refunds, brands, platform, business WTD, active alerts.</t>
        </is>
      </c>
      <c r="C7" s="25" t="inlineStr">
        <is>
          <t>Create query layer for Daily Health metrics and status thresholds.</t>
        </is>
      </c>
      <c r="D7" s="25" t="inlineStr">
        <is>
          <t>Build one-screen admin landing page with six quadrants and active alerts.</t>
        </is>
      </c>
      <c r="E7" s="25" t="inlineStr">
        <is>
          <t>Protect dashboard by role and log manual refresh/export if needed.</t>
        </is>
      </c>
      <c r="F7" s="25" t="inlineStr">
        <is>
          <t>Daily snapshot can feed weekly reporting pack.</t>
        </is>
      </c>
      <c r="G7" s="25" t="inlineStr">
        <is>
          <t>AJ + IT</t>
        </is>
      </c>
      <c r="H7" s="25" t="inlineStr">
        <is>
          <t>Critical</t>
        </is>
      </c>
      <c r="I7" s="25" t="inlineStr">
        <is>
          <t>Done</t>
        </is>
      </c>
      <c r="J7" s="25" t="inlineStr">
        <is>
          <t>Done with admin dashboard health status, KPIs, snapshot, and alert mix.</t>
        </is>
      </c>
    </row>
    <row r="8">
      <c r="A8" s="25" t="inlineStr">
        <is>
          <t>Weekly reporting pack</t>
        </is>
      </c>
      <c r="B8" s="25" t="inlineStr">
        <is>
          <t>Model weekly pack with executive snapshot, ops metrics, finance, brand health, action items, notes.</t>
        </is>
      </c>
      <c r="C8" s="25" t="inlineStr">
        <is>
          <t>Generate pack from system metrics and editable manual context notes.</t>
        </is>
      </c>
      <c r="D8" s="25" t="inlineStr">
        <is>
          <t>Build generate/review/send workflow for AJ.</t>
        </is>
      </c>
      <c r="E8" s="25" t="inlineStr">
        <is>
          <t>Audit pack generation and edits after publish.</t>
        </is>
      </c>
      <c r="F8" s="25" t="inlineStr">
        <is>
          <t>Archive weekly packs and enable month roll-up.</t>
        </is>
      </c>
      <c r="G8" s="25" t="inlineStr">
        <is>
          <t>AJ + IT</t>
        </is>
      </c>
      <c r="H8" s="25" t="inlineStr">
        <is>
          <t>High</t>
        </is>
      </c>
      <c r="I8" s="25" t="inlineStr">
        <is>
          <t>Done</t>
        </is>
      </c>
      <c r="J8" s="25" t="inlineStr">
        <is>
          <t>Done with weekly pack model, generator, action items, metrics, and evidence history.</t>
        </is>
      </c>
    </row>
    <row r="9">
      <c r="A9" s="25" t="inlineStr">
        <is>
          <t>Compliance audit exports</t>
        </is>
      </c>
      <c r="B9" s="25" t="inlineStr">
        <is>
          <t>Define exports for refunds, brand actions, access changes, manual overrides, claims, deletions, escalations.</t>
        </is>
      </c>
      <c r="C9" s="25" t="inlineStr">
        <is>
          <t>Build filtered export endpoints with redaction and date windows.</t>
        </is>
      </c>
      <c r="D9" s="25" t="inlineStr">
        <is>
          <t>Create compliance export panel with month selector and export buttons.</t>
        </is>
      </c>
      <c r="E9" s="25" t="inlineStr">
        <is>
          <t>Log export generation and protect by Admin role.</t>
        </is>
      </c>
      <c r="F9" s="25" t="inlineStr">
        <is>
          <t>Monthly compliance pack status with generated/missing exports.</t>
        </is>
      </c>
      <c r="G9" s="25" t="inlineStr">
        <is>
          <t>AJ + IT</t>
        </is>
      </c>
      <c r="H9" s="25" t="inlineStr">
        <is>
          <t>High</t>
        </is>
      </c>
      <c r="I9" s="25" t="inlineStr">
        <is>
          <t>Done</t>
        </is>
      </c>
      <c r="J9" s="25" t="inlineStr">
        <is>
          <t>Done with export run model, protected API, UI panel, redaction mode, filters, and row counts.</t>
        </is>
      </c>
    </row>
    <row r="10">
      <c r="A10" s="25" t="inlineStr">
        <is>
          <t>Access review process</t>
        </is>
      </c>
      <c r="B10" s="25" t="inlineStr">
        <is>
          <t>Track active users, roles, last activity, access changes, review status.</t>
        </is>
      </c>
      <c r="C10" s="25" t="inlineStr">
        <is>
          <t>Generate quarterly access review dataset.</t>
        </is>
      </c>
      <c r="D10" s="25" t="inlineStr">
        <is>
          <t>Build access review checklist with keep/remove/needs change decisions.</t>
        </is>
      </c>
      <c r="E10" s="25" t="inlineStr">
        <is>
          <t>Require same-day revocation notes for removed users.</t>
        </is>
      </c>
      <c r="F10" s="25" t="inlineStr">
        <is>
          <t>Quarterly access review export and open access risks.</t>
        </is>
      </c>
      <c r="G10" s="25" t="inlineStr">
        <is>
          <t>AJ + IT</t>
        </is>
      </c>
      <c r="H10" s="25" t="inlineStr">
        <is>
          <t>High</t>
        </is>
      </c>
      <c r="I10" s="25" t="inlineStr">
        <is>
          <t>Done</t>
        </is>
      </c>
      <c r="J10" s="25" t="inlineStr">
        <is>
          <t>Done with quarterly review run/item model, generation from users/roles, decision fields, and evidence history.</t>
        </is>
      </c>
    </row>
  </sheetData>
  <mergeCells count="2">
    <mergeCell ref="A1:J1"/>
    <mergeCell ref="A2:J2"/>
  </mergeCells>
  <dataValidations count="1">
    <dataValidation sqref="I5:I10" showDropDown="0" showInputMessage="0" showErrorMessage="0" allowBlank="0" type="list">
      <formula1>"Not Started,In Progress,Blocked,Implemented,In QA,Done,Deferred"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42" customWidth="1" min="4" max="4"/>
    <col width="24" customWidth="1" min="5" max="5"/>
    <col width="30" customWidth="1" min="6" max="6"/>
    <col width="24" customWidth="1" min="7" max="7"/>
    <col width="14" customWidth="1" min="8" max="8"/>
  </cols>
  <sheetData>
    <row r="1" ht="27" customHeight="1">
      <c r="A1" s="22" t="inlineStr">
        <is>
          <t>Monitoring, Alerts &amp; SLA - Rollout &amp; Signoff</t>
        </is>
      </c>
      <c r="B1" s="21" t="n"/>
      <c r="C1" s="21" t="n"/>
      <c r="D1" s="21" t="n"/>
      <c r="E1" s="21" t="n"/>
      <c r="F1" s="21" t="n"/>
      <c r="G1" s="21" t="n"/>
      <c r="H1" s="21" t="n"/>
    </row>
    <row r="2" ht="27" customHeight="1">
      <c r="A2" s="23" t="inlineStr">
        <is>
          <t>A structured implementation sequence for taking the module from playbook to production.</t>
        </is>
      </c>
      <c r="B2" s="21" t="n"/>
      <c r="C2" s="21" t="n"/>
      <c r="D2" s="21" t="n"/>
      <c r="E2" s="21" t="n"/>
      <c r="F2" s="21" t="n"/>
      <c r="G2" s="21" t="n"/>
      <c r="H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</row>
    <row r="4">
      <c r="A4" s="24" t="inlineStr">
        <is>
          <t>Stage</t>
        </is>
      </c>
      <c r="B4" s="24" t="inlineStr">
        <is>
          <t>Focus</t>
        </is>
      </c>
      <c r="C4" s="24" t="inlineStr">
        <is>
          <t>Must Ship</t>
        </is>
      </c>
      <c r="D4" s="24" t="inlineStr">
        <is>
          <t>Exit Criteria</t>
        </is>
      </c>
      <c r="E4" s="24" t="inlineStr">
        <is>
          <t>Risks</t>
        </is>
      </c>
      <c r="F4" s="24" t="inlineStr">
        <is>
          <t>Mitigation</t>
        </is>
      </c>
      <c r="G4" s="24" t="inlineStr">
        <is>
          <t>Owner Sign-off</t>
        </is>
      </c>
      <c r="H4" s="24" t="inlineStr">
        <is>
          <t>Date</t>
        </is>
      </c>
    </row>
    <row r="5">
      <c r="A5" s="25" t="inlineStr">
        <is>
          <t>Sprint 0</t>
        </is>
      </c>
      <c r="B5" s="25" t="inlineStr">
        <is>
          <t>Alignment</t>
        </is>
      </c>
      <c r="C5" s="25" t="inlineStr">
        <is>
          <t>Scope, owner map, permissions, statuses, reporting contract</t>
        </is>
      </c>
      <c r="D5" s="25" t="inlineStr">
        <is>
          <t>Owner signs off v1 boundaries</t>
        </is>
      </c>
      <c r="E5" s="25" t="inlineStr">
        <is>
          <t>Ambiguous ownership</t>
        </is>
      </c>
      <c r="F5" s="25" t="inlineStr">
        <is>
          <t>Escalate to founder owner</t>
        </is>
      </c>
      <c r="G5" s="25" t="inlineStr">
        <is>
          <t>Ready for owner sign-off</t>
        </is>
      </c>
      <c r="H5" s="25" t="inlineStr">
        <is>
          <t>2026-05-30</t>
        </is>
      </c>
    </row>
    <row r="6">
      <c r="A6" s="25" t="inlineStr">
        <is>
          <t>Sprint 1</t>
        </is>
      </c>
      <c r="B6" s="25" t="inlineStr">
        <is>
          <t>Core Data/API</t>
        </is>
      </c>
      <c r="C6" s="25" t="inlineStr">
        <is>
          <t>Core data model and first backend flows</t>
        </is>
      </c>
      <c r="D6" s="25" t="inlineStr">
        <is>
          <t>Happy path works locally/staging</t>
        </is>
      </c>
      <c r="E6" s="25" t="inlineStr">
        <is>
          <t>Schema churn</t>
        </is>
      </c>
      <c r="F6" s="25" t="inlineStr">
        <is>
          <t>Freeze minimal fields first</t>
        </is>
      </c>
      <c r="G6" s="25" t="inlineStr">
        <is>
          <t>Ready for owner sign-off</t>
        </is>
      </c>
      <c r="H6" s="25" t="inlineStr">
        <is>
          <t>2026-05-30</t>
        </is>
      </c>
    </row>
    <row r="7">
      <c r="A7" s="25" t="inlineStr">
        <is>
          <t>Sprint 2</t>
        </is>
      </c>
      <c r="B7" s="25" t="inlineStr">
        <is>
          <t>Workflow UI</t>
        </is>
      </c>
      <c r="C7" s="25" t="inlineStr">
        <is>
          <t>Operator-facing queues/detail/actions</t>
        </is>
      </c>
      <c r="D7" s="25" t="inlineStr">
        <is>
          <t>User can complete core workflow</t>
        </is>
      </c>
      <c r="E7" s="25" t="inlineStr">
        <is>
          <t>Workflow gaps</t>
        </is>
      </c>
      <c r="F7" s="25" t="inlineStr">
        <is>
          <t>Run real scenario reviews</t>
        </is>
      </c>
      <c r="G7" s="25" t="inlineStr">
        <is>
          <t>Ready for owner sign-off</t>
        </is>
      </c>
      <c r="H7" s="25" t="inlineStr">
        <is>
          <t>2026-05-30</t>
        </is>
      </c>
    </row>
    <row r="8">
      <c r="A8" s="25" t="inlineStr">
        <is>
          <t>Sprint 3</t>
        </is>
      </c>
      <c r="B8" s="25" t="inlineStr">
        <is>
          <t>Controls/Reports</t>
        </is>
      </c>
      <c r="C8" s="25" t="inlineStr">
        <is>
          <t>Audit, alerts, permissions, dashboards, exports</t>
        </is>
      </c>
      <c r="D8" s="25" t="inlineStr">
        <is>
          <t>System produces evidence and metrics</t>
        </is>
      </c>
      <c r="E8" s="25" t="inlineStr">
        <is>
          <t>Mismatched numbers</t>
        </is>
      </c>
      <c r="F8" s="25" t="inlineStr">
        <is>
          <t>Manual reconciliation</t>
        </is>
      </c>
      <c r="G8" s="25" t="inlineStr">
        <is>
          <t>Ready for owner sign-off</t>
        </is>
      </c>
      <c r="H8" s="25" t="inlineStr">
        <is>
          <t>2026-05-30</t>
        </is>
      </c>
    </row>
    <row r="9">
      <c r="A9" s="25" t="inlineStr">
        <is>
          <t>Sprint 4</t>
        </is>
      </c>
      <c r="B9" s="25" t="inlineStr">
        <is>
          <t>E2E QA</t>
        </is>
      </c>
      <c r="C9" s="25" t="inlineStr">
        <is>
          <t>All tests passed, access checked, owner trained</t>
        </is>
      </c>
      <c r="D9" s="25" t="inlineStr">
        <is>
          <t>Module ready for daily operation</t>
        </is>
      </c>
      <c r="E9" s="25" t="inlineStr">
        <is>
          <t>Adoption gap</t>
        </is>
      </c>
      <c r="F9" s="25" t="inlineStr">
        <is>
          <t>Train on realistic examples</t>
        </is>
      </c>
      <c r="G9" s="25" t="inlineStr">
        <is>
          <t>Ready for owner sign-off</t>
        </is>
      </c>
      <c r="H9" s="25" t="inlineStr">
        <is>
          <t>2026-05-30</t>
        </is>
      </c>
    </row>
    <row r="10">
      <c r="A10" s="25" t="inlineStr">
        <is>
          <t>Post-Go-Live</t>
        </is>
      </c>
      <c r="B10" s="25" t="inlineStr">
        <is>
          <t>Stabilization</t>
        </is>
      </c>
      <c r="C10" s="25" t="inlineStr">
        <is>
          <t>Bug triage, metric review, missing workflows</t>
        </is>
      </c>
      <c r="D10" s="25" t="inlineStr">
        <is>
          <t>No critical blockers after first review cycle</t>
        </is>
      </c>
      <c r="E10" s="25" t="inlineStr">
        <is>
          <t>Unseen edge cases</t>
        </is>
      </c>
      <c r="F10" s="25" t="inlineStr">
        <is>
          <t>Daily review for first week</t>
        </is>
      </c>
      <c r="G10" s="25" t="inlineStr">
        <is>
          <t>Ready for owner sign-off</t>
        </is>
      </c>
      <c r="H10" s="25" t="inlineStr">
        <is>
          <t>2026-05-30</t>
        </is>
      </c>
    </row>
  </sheetData>
  <mergeCells count="2">
    <mergeCell ref="A2:H2"/>
    <mergeCell ref="A1:H1"/>
  </mergeCells>
  <dataValidations count="1">
    <dataValidation sqref="G5:G10" showDropDown="0" showInputMessage="0" showErrorMessage="0" allowBlank="0" type="list">
      <formula1>"Pending,Approved,Rejected,N/A"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.5" customWidth="1" min="1" max="1"/>
    <col width="22.5" customWidth="1" min="2" max="2"/>
    <col width="77.5" customWidth="1" min="3" max="3"/>
    <col width="45" customWidth="1" min="4" max="4"/>
  </cols>
  <sheetData>
    <row r="1" ht="27" customHeight="1">
      <c r="A1" s="22" t="inlineStr">
        <is>
          <t>Monitoring, Alerts &amp; SLA - Source Notes</t>
        </is>
      </c>
      <c r="B1" s="21" t="n"/>
      <c r="C1" s="21" t="n"/>
      <c r="D1" s="21" t="n"/>
    </row>
    <row r="2" ht="27" customHeight="1">
      <c r="A2" s="23" t="inlineStr">
        <is>
          <t>Source: RSPL_playbook_learning (1).pdf - Document 02, pages 25-47</t>
        </is>
      </c>
      <c r="B2" s="21" t="n"/>
      <c r="C2" s="21" t="n"/>
      <c r="D2" s="21" t="n"/>
    </row>
    <row r="3">
      <c r="A3" s="21" t="n"/>
      <c r="B3" s="21" t="n"/>
      <c r="C3" s="21" t="n"/>
      <c r="D3" s="21" t="n"/>
    </row>
    <row r="4">
      <c r="A4" s="24" t="inlineStr">
        <is>
          <t>Source Area</t>
        </is>
      </c>
      <c r="B4" s="24" t="inlineStr">
        <is>
          <t>Reference</t>
        </is>
      </c>
      <c r="C4" s="24" t="inlineStr">
        <is>
          <t>Key Playbook Meaning</t>
        </is>
      </c>
      <c r="D4" s="24" t="inlineStr">
        <is>
          <t>Tracker Translation</t>
        </is>
      </c>
    </row>
    <row r="5">
      <c r="A5" s="25" t="inlineStr">
        <is>
          <t>Monitoring, Alerts &amp; SLA</t>
        </is>
      </c>
      <c r="B5" s="25" t="inlineStr">
        <is>
          <t>Document 02, pages 25-47</t>
        </is>
      </c>
      <c r="C5" s="25" t="inlineStr">
        <is>
          <t>This playbook defines recurring workflows, owners, SLAs/cadence, evidence, and outputs.</t>
        </is>
      </c>
      <c r="D5" s="25" t="inlineStr">
        <is>
          <t>Converted into implementation tasks and QA checks.</t>
        </is>
      </c>
    </row>
    <row r="6">
      <c r="A6" s="25" t="inlineStr">
        <is>
          <t>Monitoring Standard</t>
        </is>
      </c>
      <c r="B6" s="25" t="inlineStr">
        <is>
          <t>Document 02</t>
        </is>
      </c>
      <c r="C6" s="25" t="inlineStr">
        <is>
          <t>Important work should be observable through logs, alerts, dashboards, exports, and reviews.</t>
        </is>
      </c>
      <c r="D6" s="25" t="inlineStr">
        <is>
          <t>Controls/reporting tasks included for each capability.</t>
        </is>
      </c>
    </row>
    <row r="7">
      <c r="A7" s="25" t="inlineStr">
        <is>
          <t>Tech Playbook</t>
        </is>
      </c>
      <c r="B7" s="25" t="inlineStr">
        <is>
          <t>Document 08</t>
        </is>
      </c>
      <c r="C7" s="25" t="inlineStr">
        <is>
          <t>Build in phases, review PRs, verify post-deploy, manage access and debt.</t>
        </is>
      </c>
      <c r="D7" s="25" t="inlineStr">
        <is>
          <t>Rollout and sign-off workflow included.</t>
        </is>
      </c>
    </row>
    <row r="8">
      <c r="A8" s="25" t="inlineStr">
        <is>
          <t>Operating Constitution</t>
        </is>
      </c>
      <c r="B8" s="25" t="inlineStr">
        <is>
          <t>Document 01</t>
        </is>
      </c>
      <c r="C8" s="25" t="inlineStr">
        <is>
          <t>Every workflow should have one owner and escalation path.</t>
        </is>
      </c>
      <c r="D8" s="25" t="inlineStr">
        <is>
          <t>Owner/dependency/sign-off columns included.</t>
        </is>
      </c>
    </row>
    <row r="9">
      <c r="A9" s="25" t="inlineStr">
        <is>
          <t>Implementation Rule</t>
        </is>
      </c>
      <c r="B9" s="25" t="inlineStr">
        <is>
          <t>All documents</t>
        </is>
      </c>
      <c r="C9" s="25" t="inlineStr">
        <is>
          <t>Do not leave recurring work in WhatsApp, memory, or manual spreadsheets.</t>
        </is>
      </c>
      <c r="D9" s="25" t="inlineStr">
        <is>
          <t>Each module has backend/UI/report tasks to make it system-owned.</t>
        </is>
      </c>
    </row>
    <row r="10">
      <c r="A10" s="25" t="inlineStr">
        <is>
          <t>Usage</t>
        </is>
      </c>
      <c r="B10" s="25" t="inlineStr">
        <is>
          <t>N/A</t>
        </is>
      </c>
      <c r="C10" s="25" t="inlineStr">
        <is>
          <t>Work left to right: data model, backend, UI, controls, reporting, QA.</t>
        </is>
      </c>
      <c r="D10" s="25" t="inlineStr">
        <is>
          <t>Do not mark Done without evidence and QA status.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2026-05-29T19:45:13Z</dcterms:created>
  <dcterms:modified xmlns:dcterms="http://purl.org/dc/terms/" xmlns:xsi="http://www.w3.org/2001/XMLSchema-instance" xsi:type="dcterms:W3CDTF">2026-05-29T19:45:13Z</dcterms:modified>
</cp:coreProperties>
</file>